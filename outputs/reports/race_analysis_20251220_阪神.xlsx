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知見サマリー" sheetId="1" state="visible" r:id="rId1"/>
    <sheet xmlns:r="http://schemas.openxmlformats.org/officeDocument/2006/relationships" name="AI分析_01R" sheetId="2" state="visible" r:id="rId2"/>
    <sheet xmlns:r="http://schemas.openxmlformats.org/officeDocument/2006/relationships" name="Race_01" sheetId="3" state="visible" r:id="rId3"/>
    <sheet xmlns:r="http://schemas.openxmlformats.org/officeDocument/2006/relationships" name="ChartData_01" sheetId="4" state="hidden" r:id="rId4"/>
    <sheet xmlns:r="http://schemas.openxmlformats.org/officeDocument/2006/relationships" name="Analysis_01" sheetId="5" state="visible" r:id="rId5"/>
    <sheet xmlns:r="http://schemas.openxmlformats.org/officeDocument/2006/relationships" name="Matchups_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sz val="11"/>
    </font>
    <font>
      <b val="1"/>
      <sz val="12"/>
    </font>
    <font>
      <b val="1"/>
    </font>
    <font>
      <b val="1"/>
      <color rgb="00000000"/>
    </font>
    <font>
      <b val="1"/>
      <color rgb="000066CC"/>
      <sz val="10"/>
    </font>
    <font>
      <sz val="12"/>
    </font>
    <font>
      <i val="1"/>
      <sz val="8"/>
    </font>
    <font>
      <color rgb="000000FF"/>
    </font>
    <font>
      <b val="1"/>
      <color rgb="00FF0000"/>
    </font>
    <font>
      <b val="1"/>
      <color rgb="00FFFF00"/>
    </font>
    <font>
      <b val="1"/>
      <color rgb="00FFA500"/>
    </font>
    <font>
      <b val="1"/>
      <color rgb="000000FF"/>
    </font>
    <font>
      <b val="1"/>
      <color rgb="00FFC0CB"/>
    </font>
  </fonts>
  <fills count="1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6" fillId="0" borderId="1" applyAlignment="1" pivotButton="0" quotePrefix="0" xfId="0">
      <alignment horizontal="center" vertical="top"/>
    </xf>
    <xf numFmtId="0" fontId="7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7" fillId="12" borderId="0" applyAlignment="1" pivotButton="0" quotePrefix="0" xfId="0">
      <alignment horizontal="center"/>
    </xf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 textRotation="90"/>
    </xf>
    <xf numFmtId="0" fontId="6" fillId="0" borderId="0" pivotButton="0" quotePrefix="0" xfId="0"/>
    <xf numFmtId="0" fontId="0" fillId="1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14" borderId="0" pivotButton="0" quotePrefix="0" xfId="0"/>
    <xf numFmtId="0" fontId="6" fillId="0" borderId="0" applyAlignment="1" pivotButton="0" quotePrefix="0" xfId="0">
      <alignment horizontal="center"/>
    </xf>
    <xf numFmtId="0" fontId="13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スティーブ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アストラリオン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</f>
            </numRef>
          </xVal>
          <yVal>
            <numRef>
              <f>'ChartData_01'!$C$3</f>
            </numRef>
          </yVal>
        </ser>
        <ser>
          <idx val="2"/>
          <order val="2"/>
          <tx>
            <v>(3) メイショウナナユキ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'ChartData_01'!$D$4</f>
            </numRef>
          </xVal>
          <yVal>
            <numRef>
              <f>'ChartData_01'!$C$4</f>
            </numRef>
          </yVal>
        </ser>
        <ser>
          <idx val="3"/>
          <order val="3"/>
          <tx>
            <v>(4) ゴッドシュアウイン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'ChartData_01'!$D$5</f>
            </numRef>
          </xVal>
          <yVal>
            <numRef>
              <f>'ChartData_01'!$C$5</f>
            </numRef>
          </yVal>
        </ser>
        <ser>
          <idx val="4"/>
          <order val="4"/>
          <tx>
            <v>(5) ゴールデンバランス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'ChartData_01'!$D$6:$D$7</f>
            </numRef>
          </xVal>
          <yVal>
            <numRef>
              <f>'ChartData_01'!$C$6:$C$7</f>
            </numRef>
          </yVal>
        </ser>
        <ser>
          <idx val="5"/>
          <order val="5"/>
          <tx>
            <v>(6) ジュディーイメル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'ChartData_01'!$D$8:$D$13</f>
            </numRef>
          </xVal>
          <yVal>
            <numRef>
              <f>'ChartData_01'!$C$8:$C$13</f>
            </numRef>
          </yVal>
        </ser>
        <ser>
          <idx val="6"/>
          <order val="6"/>
          <tx>
            <v>(7) レザーアンドレース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'ChartData_01'!$D$14:$D$15</f>
            </numRef>
          </xVal>
          <yVal>
            <numRef>
              <f>'ChartData_01'!$C$14:$C$15</f>
            </numRef>
          </yVal>
        </ser>
        <ser>
          <idx val="7"/>
          <order val="7"/>
          <tx>
            <v>(8) ピーチアバランチェ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'ChartData_01'!$D$16:$D$17</f>
            </numRef>
          </xVal>
          <yVal>
            <numRef>
              <f>'ChartData_01'!$C$16:$C$17</f>
            </numRef>
          </yVal>
        </ser>
        <ser>
          <idx val="8"/>
          <order val="8"/>
          <tx>
            <v>(9) フェスティヴドレス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'ChartData_01'!$D$18:$D$20</f>
            </numRef>
          </xVal>
          <yVal>
            <numRef>
              <f>'ChartData_01'!$C$18:$C$20</f>
            </numRef>
          </yVal>
        </ser>
        <ser>
          <idx val="9"/>
          <order val="9"/>
          <tx>
            <v>(10) レインボーステート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'ChartData_01'!$D$21:$D$22</f>
            </numRef>
          </xVal>
          <yVal>
            <numRef>
              <f>'ChartData_01'!$C$21:$C$22</f>
            </numRef>
          </yVal>
        </ser>
        <ser>
          <idx val="10"/>
          <order val="10"/>
          <tx>
            <v>(11) タイガーロード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'ChartData_01'!$D$23</f>
            </numRef>
          </xVal>
          <yVal>
            <numRef>
              <f>'ChartData_01'!$C$23</f>
            </numRef>
          </yVal>
        </ser>
        <ser>
          <idx val="11"/>
          <order val="11"/>
          <tx>
            <v>(12) クリコメリー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'ChartData_01'!$D$24</f>
            </numRef>
          </xVal>
          <yVal>
            <numRef>
              <f>'ChartData_01'!$C$24</f>
            </numRef>
          </yVal>
        </ser>
        <ser>
          <idx val="12"/>
          <order val="12"/>
          <tx>
            <v>(13) ブリオーニ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'ChartData_01'!$D$25</f>
            </numRef>
          </xVal>
          <yVal>
            <numRef>
              <f>'ChartData_01'!$C$25</f>
            </numRef>
          </yVal>
        </ser>
        <ser>
          <idx val="13"/>
          <order val="13"/>
          <tx>
            <v>(14) タイセイグローバル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'ChartData_01'!$D$26:$D$27</f>
            </numRef>
          </xVal>
          <yVal>
            <numRef>
              <f>'ChartData_01'!$C$26:$C$27</f>
            </numRef>
          </yVal>
        </ser>
        <ser>
          <idx val="14"/>
          <order val="14"/>
          <tx>
            <v>(15) ストラーダ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'ChartData_01'!$D$28</f>
            </numRef>
          </xVal>
          <yVal>
            <numRef>
              <f>'ChartData_01'!$C$28</f>
            </numRef>
          </yVal>
        </ser>
        <ser>
          <idx val="15"/>
          <order val="15"/>
          <tx>
            <v>(16) モズプリフォール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'ChartData_01'!$D$29:$D$32</f>
            </numRef>
          </xVal>
          <yVal>
            <numRef>
              <f>'ChartData_01'!$C$29:$C$32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スティーブ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アストラリオン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</f>
            </numRef>
          </xVal>
          <yVal>
            <numRef>
              <f>'ChartData_01'!$C$3</f>
            </numRef>
          </yVal>
        </ser>
        <ser>
          <idx val="2"/>
          <order val="2"/>
          <tx>
            <v>(3) メイショウナナユキ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'ChartData_01'!$G$4</f>
            </numRef>
          </xVal>
          <yVal>
            <numRef>
              <f>'ChartData_01'!$C$4</f>
            </numRef>
          </yVal>
        </ser>
        <ser>
          <idx val="3"/>
          <order val="3"/>
          <tx>
            <v>(4) ゴッドシュアウイン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'ChartData_01'!$G$5</f>
            </numRef>
          </xVal>
          <yVal>
            <numRef>
              <f>'ChartData_01'!$C$5</f>
            </numRef>
          </yVal>
        </ser>
        <ser>
          <idx val="4"/>
          <order val="4"/>
          <tx>
            <v>(5) ゴールデンバランス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'ChartData_01'!$G$6:$G$7</f>
            </numRef>
          </xVal>
          <yVal>
            <numRef>
              <f>'ChartData_01'!$C$6:$C$7</f>
            </numRef>
          </yVal>
        </ser>
        <ser>
          <idx val="5"/>
          <order val="5"/>
          <tx>
            <v>(6) ジュディーイメル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'ChartData_01'!$G$8:$G$13</f>
            </numRef>
          </xVal>
          <yVal>
            <numRef>
              <f>'ChartData_01'!$C$8:$C$13</f>
            </numRef>
          </yVal>
        </ser>
        <ser>
          <idx val="6"/>
          <order val="6"/>
          <tx>
            <v>(7) レザーアンドレース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'ChartData_01'!$G$14:$G$15</f>
            </numRef>
          </xVal>
          <yVal>
            <numRef>
              <f>'ChartData_01'!$C$14:$C$15</f>
            </numRef>
          </yVal>
        </ser>
        <ser>
          <idx val="7"/>
          <order val="7"/>
          <tx>
            <v>(8) ピーチアバランチェ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'ChartData_01'!$G$16:$G$17</f>
            </numRef>
          </xVal>
          <yVal>
            <numRef>
              <f>'ChartData_01'!$C$16:$C$17</f>
            </numRef>
          </yVal>
        </ser>
        <ser>
          <idx val="8"/>
          <order val="8"/>
          <tx>
            <v>(9) フェスティヴドレス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'ChartData_01'!$G$18:$G$20</f>
            </numRef>
          </xVal>
          <yVal>
            <numRef>
              <f>'ChartData_01'!$C$18:$C$20</f>
            </numRef>
          </yVal>
        </ser>
        <ser>
          <idx val="9"/>
          <order val="9"/>
          <tx>
            <v>(10) レインボーステート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'ChartData_01'!$G$21:$G$22</f>
            </numRef>
          </xVal>
          <yVal>
            <numRef>
              <f>'ChartData_01'!$C$21:$C$22</f>
            </numRef>
          </yVal>
        </ser>
        <ser>
          <idx val="10"/>
          <order val="10"/>
          <tx>
            <v>(11) タイガーロード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'ChartData_01'!$G$23</f>
            </numRef>
          </xVal>
          <yVal>
            <numRef>
              <f>'ChartData_01'!$C$23</f>
            </numRef>
          </yVal>
        </ser>
        <ser>
          <idx val="11"/>
          <order val="11"/>
          <tx>
            <v>(12) クリコメリー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'ChartData_01'!$G$24</f>
            </numRef>
          </xVal>
          <yVal>
            <numRef>
              <f>'ChartData_01'!$C$24</f>
            </numRef>
          </yVal>
        </ser>
        <ser>
          <idx val="12"/>
          <order val="12"/>
          <tx>
            <v>(13) ブリオーニ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'ChartData_01'!$G$25</f>
            </numRef>
          </xVal>
          <yVal>
            <numRef>
              <f>'ChartData_01'!$C$25</f>
            </numRef>
          </yVal>
        </ser>
        <ser>
          <idx val="13"/>
          <order val="13"/>
          <tx>
            <v>(14) タイセイグローバル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'ChartData_01'!$G$26:$G$27</f>
            </numRef>
          </xVal>
          <yVal>
            <numRef>
              <f>'ChartData_01'!$C$26:$C$27</f>
            </numRef>
          </yVal>
        </ser>
        <ser>
          <idx val="14"/>
          <order val="14"/>
          <tx>
            <v>(15) ストラーダ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'ChartData_01'!$G$28</f>
            </numRef>
          </xVal>
          <yVal>
            <numRef>
              <f>'ChartData_01'!$C$28</f>
            </numRef>
          </yVal>
        </ser>
        <ser>
          <idx val="15"/>
          <order val="15"/>
          <tx>
            <v>(16) モズプリフォール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'ChartData_01'!$G$29:$G$32</f>
            </numRef>
          </xVal>
          <yVal>
            <numRef>
              <f>'ChartData_01'!$C$29:$C$32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スティーブ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アストラリオン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</f>
            </numRef>
          </xVal>
          <yVal>
            <numRef>
              <f>'ChartData_01'!$C$3</f>
            </numRef>
          </yVal>
        </ser>
        <ser>
          <idx val="2"/>
          <order val="2"/>
          <tx>
            <v>(3) メイショウナナユキ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'ChartData_01'!$E$4</f>
            </numRef>
          </xVal>
          <yVal>
            <numRef>
              <f>'ChartData_01'!$C$4</f>
            </numRef>
          </yVal>
        </ser>
        <ser>
          <idx val="3"/>
          <order val="3"/>
          <tx>
            <v>(4) ゴッドシュアウイン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'ChartData_01'!$E$5</f>
            </numRef>
          </xVal>
          <yVal>
            <numRef>
              <f>'ChartData_01'!$C$5</f>
            </numRef>
          </yVal>
        </ser>
        <ser>
          <idx val="4"/>
          <order val="4"/>
          <tx>
            <v>(5) ゴールデンバランス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'ChartData_01'!$E$6:$E$7</f>
            </numRef>
          </xVal>
          <yVal>
            <numRef>
              <f>'ChartData_01'!$C$6:$C$7</f>
            </numRef>
          </yVal>
        </ser>
        <ser>
          <idx val="5"/>
          <order val="5"/>
          <tx>
            <v>(6) ジュディーイメル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'ChartData_01'!$E$8:$E$13</f>
            </numRef>
          </xVal>
          <yVal>
            <numRef>
              <f>'ChartData_01'!$C$8:$C$13</f>
            </numRef>
          </yVal>
        </ser>
        <ser>
          <idx val="6"/>
          <order val="6"/>
          <tx>
            <v>(7) レザーアンドレース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'ChartData_01'!$E$14:$E$15</f>
            </numRef>
          </xVal>
          <yVal>
            <numRef>
              <f>'ChartData_01'!$C$14:$C$15</f>
            </numRef>
          </yVal>
        </ser>
        <ser>
          <idx val="7"/>
          <order val="7"/>
          <tx>
            <v>(8) ピーチアバランチェ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'ChartData_01'!$E$16:$E$17</f>
            </numRef>
          </xVal>
          <yVal>
            <numRef>
              <f>'ChartData_01'!$C$16:$C$17</f>
            </numRef>
          </yVal>
        </ser>
        <ser>
          <idx val="8"/>
          <order val="8"/>
          <tx>
            <v>(9) フェスティヴドレス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'ChartData_01'!$E$18:$E$20</f>
            </numRef>
          </xVal>
          <yVal>
            <numRef>
              <f>'ChartData_01'!$C$18:$C$20</f>
            </numRef>
          </yVal>
        </ser>
        <ser>
          <idx val="9"/>
          <order val="9"/>
          <tx>
            <v>(10) レインボーステート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'ChartData_01'!$E$21:$E$22</f>
            </numRef>
          </xVal>
          <yVal>
            <numRef>
              <f>'ChartData_01'!$C$21:$C$22</f>
            </numRef>
          </yVal>
        </ser>
        <ser>
          <idx val="10"/>
          <order val="10"/>
          <tx>
            <v>(11) タイガーロード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'ChartData_01'!$E$23</f>
            </numRef>
          </xVal>
          <yVal>
            <numRef>
              <f>'ChartData_01'!$C$23</f>
            </numRef>
          </yVal>
        </ser>
        <ser>
          <idx val="11"/>
          <order val="11"/>
          <tx>
            <v>(12) クリコメリー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'ChartData_01'!$E$24</f>
            </numRef>
          </xVal>
          <yVal>
            <numRef>
              <f>'ChartData_01'!$C$24</f>
            </numRef>
          </yVal>
        </ser>
        <ser>
          <idx val="12"/>
          <order val="12"/>
          <tx>
            <v>(13) ブリオーニ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'ChartData_01'!$E$25</f>
            </numRef>
          </xVal>
          <yVal>
            <numRef>
              <f>'ChartData_01'!$C$25</f>
            </numRef>
          </yVal>
        </ser>
        <ser>
          <idx val="13"/>
          <order val="13"/>
          <tx>
            <v>(14) タイセイグローバル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'ChartData_01'!$E$26:$E$27</f>
            </numRef>
          </xVal>
          <yVal>
            <numRef>
              <f>'ChartData_01'!$C$26:$C$27</f>
            </numRef>
          </yVal>
        </ser>
        <ser>
          <idx val="14"/>
          <order val="14"/>
          <tx>
            <v>(15) ストラーダ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'ChartData_01'!$E$28</f>
            </numRef>
          </xVal>
          <yVal>
            <numRef>
              <f>'ChartData_01'!$C$28</f>
            </numRef>
          </yVal>
        </ser>
        <ser>
          <idx val="15"/>
          <order val="15"/>
          <tx>
            <v>(16) モズプリフォール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'ChartData_01'!$E$29:$E$32</f>
            </numRef>
          </xVal>
          <yVal>
            <numRef>
              <f>'ChartData_01'!$C$29:$C$32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スティーブ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</f>
            </numRef>
          </xVal>
          <yVal>
            <numRef>
              <f>'ChartData_01'!$D$2</f>
            </numRef>
          </yVal>
        </ser>
        <ser>
          <idx val="1"/>
          <order val="1"/>
          <tx>
            <v>(2) アストラリオン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</f>
            </numRef>
          </xVal>
          <yVal>
            <numRef>
              <f>'ChartData_01'!$D$3</f>
            </numRef>
          </yVal>
        </ser>
        <ser>
          <idx val="2"/>
          <order val="2"/>
          <tx>
            <v>(3) メイショウナナユキ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'ChartData_01'!$H$4</f>
            </numRef>
          </xVal>
          <yVal>
            <numRef>
              <f>'ChartData_01'!$D$4</f>
            </numRef>
          </yVal>
        </ser>
        <ser>
          <idx val="3"/>
          <order val="3"/>
          <tx>
            <v>(4) ゴッドシュアウイン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'ChartData_01'!$H$5</f>
            </numRef>
          </xVal>
          <yVal>
            <numRef>
              <f>'ChartData_01'!$D$5</f>
            </numRef>
          </yVal>
        </ser>
        <ser>
          <idx val="4"/>
          <order val="4"/>
          <tx>
            <v>(5) ゴールデンバランス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'ChartData_01'!$H$6:$H$7</f>
            </numRef>
          </xVal>
          <yVal>
            <numRef>
              <f>'ChartData_01'!$D$6:$D$7</f>
            </numRef>
          </yVal>
        </ser>
        <ser>
          <idx val="5"/>
          <order val="5"/>
          <tx>
            <v>(6) ジュディーイメル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'ChartData_01'!$H$8:$H$13</f>
            </numRef>
          </xVal>
          <yVal>
            <numRef>
              <f>'ChartData_01'!$D$8:$D$13</f>
            </numRef>
          </yVal>
        </ser>
        <ser>
          <idx val="6"/>
          <order val="6"/>
          <tx>
            <v>(7) レザーアンドレース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'ChartData_01'!$H$14:$H$15</f>
            </numRef>
          </xVal>
          <yVal>
            <numRef>
              <f>'ChartData_01'!$D$14:$D$15</f>
            </numRef>
          </yVal>
        </ser>
        <ser>
          <idx val="7"/>
          <order val="7"/>
          <tx>
            <v>(8) ピーチアバランチェ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'ChartData_01'!$H$16:$H$17</f>
            </numRef>
          </xVal>
          <yVal>
            <numRef>
              <f>'ChartData_01'!$D$16:$D$17</f>
            </numRef>
          </yVal>
        </ser>
        <ser>
          <idx val="8"/>
          <order val="8"/>
          <tx>
            <v>(9) フェスティヴドレス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'ChartData_01'!$H$18:$H$20</f>
            </numRef>
          </xVal>
          <yVal>
            <numRef>
              <f>'ChartData_01'!$D$18:$D$20</f>
            </numRef>
          </yVal>
        </ser>
        <ser>
          <idx val="9"/>
          <order val="9"/>
          <tx>
            <v>(10) レインボーステート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'ChartData_01'!$H$21:$H$22</f>
            </numRef>
          </xVal>
          <yVal>
            <numRef>
              <f>'ChartData_01'!$D$21:$D$22</f>
            </numRef>
          </yVal>
        </ser>
        <ser>
          <idx val="10"/>
          <order val="10"/>
          <tx>
            <v>(11) タイガーロード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'ChartData_01'!$H$23</f>
            </numRef>
          </xVal>
          <yVal>
            <numRef>
              <f>'ChartData_01'!$D$23</f>
            </numRef>
          </yVal>
        </ser>
        <ser>
          <idx val="11"/>
          <order val="11"/>
          <tx>
            <v>(12) クリコメリー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'ChartData_01'!$H$24</f>
            </numRef>
          </xVal>
          <yVal>
            <numRef>
              <f>'ChartData_01'!$D$24</f>
            </numRef>
          </yVal>
        </ser>
        <ser>
          <idx val="12"/>
          <order val="12"/>
          <tx>
            <v>(13) ブリオーニ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'ChartData_01'!$H$25</f>
            </numRef>
          </xVal>
          <yVal>
            <numRef>
              <f>'ChartData_01'!$D$25</f>
            </numRef>
          </yVal>
        </ser>
        <ser>
          <idx val="13"/>
          <order val="13"/>
          <tx>
            <v>(14) タイセイグローバル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'ChartData_01'!$H$26:$H$27</f>
            </numRef>
          </xVal>
          <yVal>
            <numRef>
              <f>'ChartData_01'!$D$26:$D$27</f>
            </numRef>
          </yVal>
        </ser>
        <ser>
          <idx val="14"/>
          <order val="14"/>
          <tx>
            <v>(15) ストラーダ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'ChartData_01'!$H$28</f>
            </numRef>
          </xVal>
          <yVal>
            <numRef>
              <f>'ChartData_01'!$D$28</f>
            </numRef>
          </yVal>
        </ser>
        <ser>
          <idx val="15"/>
          <order val="15"/>
          <tx>
            <v>(16) モズプリフォール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'ChartData_01'!$H$29:$H$32</f>
            </numRef>
          </xVal>
          <yVal>
            <numRef>
              <f>'ChartData_01'!$D$29:$D$32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スティーブ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アストラリオン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</f>
            </numRef>
          </xVal>
          <yVal>
            <numRef>
              <f>'ChartData_01'!$C$3</f>
            </numRef>
          </yVal>
        </ser>
        <ser>
          <idx val="2"/>
          <order val="2"/>
          <tx>
            <v>(3) メイショウナナユキ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'ChartData_01'!$F$4</f>
            </numRef>
          </xVal>
          <yVal>
            <numRef>
              <f>'ChartData_01'!$C$4</f>
            </numRef>
          </yVal>
        </ser>
        <ser>
          <idx val="3"/>
          <order val="3"/>
          <tx>
            <v>(4) ゴッドシュアウイン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</f>
            </numRef>
          </xVal>
          <yVal>
            <numRef>
              <f>'ChartData_01'!$C$5</f>
            </numRef>
          </yVal>
        </ser>
        <ser>
          <idx val="4"/>
          <order val="4"/>
          <tx>
            <v>(5) ゴールデンバランス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'ChartData_01'!$F$6:$F$7</f>
            </numRef>
          </xVal>
          <yVal>
            <numRef>
              <f>'ChartData_01'!$C$6:$C$7</f>
            </numRef>
          </yVal>
        </ser>
        <ser>
          <idx val="5"/>
          <order val="5"/>
          <tx>
            <v>(6) ジュディーイメル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'ChartData_01'!$F$8:$F$13</f>
            </numRef>
          </xVal>
          <yVal>
            <numRef>
              <f>'ChartData_01'!$C$8:$C$13</f>
            </numRef>
          </yVal>
        </ser>
        <ser>
          <idx val="6"/>
          <order val="6"/>
          <tx>
            <v>(7) レザーアンドレース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'ChartData_01'!$F$14:$F$15</f>
            </numRef>
          </xVal>
          <yVal>
            <numRef>
              <f>'ChartData_01'!$C$14:$C$15</f>
            </numRef>
          </yVal>
        </ser>
        <ser>
          <idx val="7"/>
          <order val="7"/>
          <tx>
            <v>(8) ピーチアバランチェ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'ChartData_01'!$F$16:$F$17</f>
            </numRef>
          </xVal>
          <yVal>
            <numRef>
              <f>'ChartData_01'!$C$16:$C$17</f>
            </numRef>
          </yVal>
        </ser>
        <ser>
          <idx val="8"/>
          <order val="8"/>
          <tx>
            <v>(9) フェスティヴドレス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'ChartData_01'!$F$18:$F$20</f>
            </numRef>
          </xVal>
          <yVal>
            <numRef>
              <f>'ChartData_01'!$C$18:$C$20</f>
            </numRef>
          </yVal>
        </ser>
        <ser>
          <idx val="9"/>
          <order val="9"/>
          <tx>
            <v>(10) レインボーステート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'ChartData_01'!$F$21:$F$22</f>
            </numRef>
          </xVal>
          <yVal>
            <numRef>
              <f>'ChartData_01'!$C$21:$C$22</f>
            </numRef>
          </yVal>
        </ser>
        <ser>
          <idx val="10"/>
          <order val="10"/>
          <tx>
            <v>(11) タイガーロード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'ChartData_01'!$F$23</f>
            </numRef>
          </xVal>
          <yVal>
            <numRef>
              <f>'ChartData_01'!$C$23</f>
            </numRef>
          </yVal>
        </ser>
        <ser>
          <idx val="11"/>
          <order val="11"/>
          <tx>
            <v>(12) クリコメリー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'ChartData_01'!$F$24</f>
            </numRef>
          </xVal>
          <yVal>
            <numRef>
              <f>'ChartData_01'!$C$24</f>
            </numRef>
          </yVal>
        </ser>
        <ser>
          <idx val="12"/>
          <order val="12"/>
          <tx>
            <v>(13) ブリオーニ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'ChartData_01'!$F$25</f>
            </numRef>
          </xVal>
          <yVal>
            <numRef>
              <f>'ChartData_01'!$C$25</f>
            </numRef>
          </yVal>
        </ser>
        <ser>
          <idx val="13"/>
          <order val="13"/>
          <tx>
            <v>(14) タイセイグローバル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'ChartData_01'!$F$26:$F$27</f>
            </numRef>
          </xVal>
          <yVal>
            <numRef>
              <f>'ChartData_01'!$C$26:$C$27</f>
            </numRef>
          </yVal>
        </ser>
        <ser>
          <idx val="14"/>
          <order val="14"/>
          <tx>
            <v>(15) ストラーダ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'ChartData_01'!$F$28</f>
            </numRef>
          </xVal>
          <yVal>
            <numRef>
              <f>'ChartData_01'!$C$28</f>
            </numRef>
          </yVal>
        </ser>
        <ser>
          <idx val="15"/>
          <order val="15"/>
          <tx>
            <v>(16) モズプリフォール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'ChartData_01'!$F$29:$F$32</f>
            </numRef>
          </xVal>
          <yVal>
            <numRef>
              <f>'ChartData_01'!$C$29:$C$32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スティーブ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</f>
            </numRef>
          </xVal>
          <yVal>
            <numRef>
              <f>'ChartData_01'!$D$2</f>
            </numRef>
          </yVal>
        </ser>
        <ser>
          <idx val="1"/>
          <order val="1"/>
          <tx>
            <v>(2) アストラリオン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</f>
            </numRef>
          </xVal>
          <yVal>
            <numRef>
              <f>'ChartData_01'!$D$3</f>
            </numRef>
          </yVal>
        </ser>
        <ser>
          <idx val="2"/>
          <order val="2"/>
          <tx>
            <v>(3) メイショウナナユキ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'ChartData_01'!$F$4</f>
            </numRef>
          </xVal>
          <yVal>
            <numRef>
              <f>'ChartData_01'!$D$4</f>
            </numRef>
          </yVal>
        </ser>
        <ser>
          <idx val="3"/>
          <order val="3"/>
          <tx>
            <v>(4) ゴッドシュアウイン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</f>
            </numRef>
          </xVal>
          <yVal>
            <numRef>
              <f>'ChartData_01'!$D$5</f>
            </numRef>
          </yVal>
        </ser>
        <ser>
          <idx val="4"/>
          <order val="4"/>
          <tx>
            <v>(5) ゴールデンバランス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'ChartData_01'!$F$6:$F$7</f>
            </numRef>
          </xVal>
          <yVal>
            <numRef>
              <f>'ChartData_01'!$D$6:$D$7</f>
            </numRef>
          </yVal>
        </ser>
        <ser>
          <idx val="5"/>
          <order val="5"/>
          <tx>
            <v>(6) ジュディーイメル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'ChartData_01'!$F$8:$F$13</f>
            </numRef>
          </xVal>
          <yVal>
            <numRef>
              <f>'ChartData_01'!$D$8:$D$13</f>
            </numRef>
          </yVal>
        </ser>
        <ser>
          <idx val="6"/>
          <order val="6"/>
          <tx>
            <v>(7) レザーアンドレース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'ChartData_01'!$F$14:$F$15</f>
            </numRef>
          </xVal>
          <yVal>
            <numRef>
              <f>'ChartData_01'!$D$14:$D$15</f>
            </numRef>
          </yVal>
        </ser>
        <ser>
          <idx val="7"/>
          <order val="7"/>
          <tx>
            <v>(8) ピーチアバランチェ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'ChartData_01'!$F$16:$F$17</f>
            </numRef>
          </xVal>
          <yVal>
            <numRef>
              <f>'ChartData_01'!$D$16:$D$17</f>
            </numRef>
          </yVal>
        </ser>
        <ser>
          <idx val="8"/>
          <order val="8"/>
          <tx>
            <v>(9) フェスティヴドレス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'ChartData_01'!$F$18:$F$20</f>
            </numRef>
          </xVal>
          <yVal>
            <numRef>
              <f>'ChartData_01'!$D$18:$D$20</f>
            </numRef>
          </yVal>
        </ser>
        <ser>
          <idx val="9"/>
          <order val="9"/>
          <tx>
            <v>(10) レインボーステート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'ChartData_01'!$F$21:$F$22</f>
            </numRef>
          </xVal>
          <yVal>
            <numRef>
              <f>'ChartData_01'!$D$21:$D$22</f>
            </numRef>
          </yVal>
        </ser>
        <ser>
          <idx val="10"/>
          <order val="10"/>
          <tx>
            <v>(11) タイガーロード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'ChartData_01'!$F$23</f>
            </numRef>
          </xVal>
          <yVal>
            <numRef>
              <f>'ChartData_01'!$D$23</f>
            </numRef>
          </yVal>
        </ser>
        <ser>
          <idx val="11"/>
          <order val="11"/>
          <tx>
            <v>(12) クリコメリー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'ChartData_01'!$F$24</f>
            </numRef>
          </xVal>
          <yVal>
            <numRef>
              <f>'ChartData_01'!$D$24</f>
            </numRef>
          </yVal>
        </ser>
        <ser>
          <idx val="12"/>
          <order val="12"/>
          <tx>
            <v>(13) ブリオーニ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'ChartData_01'!$F$25</f>
            </numRef>
          </xVal>
          <yVal>
            <numRef>
              <f>'ChartData_01'!$D$25</f>
            </numRef>
          </yVal>
        </ser>
        <ser>
          <idx val="13"/>
          <order val="13"/>
          <tx>
            <v>(14) タイセイグローバル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'ChartData_01'!$F$26:$F$27</f>
            </numRef>
          </xVal>
          <yVal>
            <numRef>
              <f>'ChartData_01'!$D$26:$D$27</f>
            </numRef>
          </yVal>
        </ser>
        <ser>
          <idx val="14"/>
          <order val="14"/>
          <tx>
            <v>(15) ストラーダ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'ChartData_01'!$F$28</f>
            </numRef>
          </xVal>
          <yVal>
            <numRef>
              <f>'ChartData_01'!$D$28</f>
            </numRef>
          </yVal>
        </ser>
        <ser>
          <idx val="15"/>
          <order val="15"/>
          <tx>
            <v>(16) モズプリフォール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'ChartData_01'!$F$29:$F$32</f>
            </numRef>
          </xVal>
          <yVal>
            <numRef>
              <f>'ChartData_01'!$D$29:$D$32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'Analysis_202509050501'!$AO$3:$AO$18</f>
              </numRef>
            </minus>
            <plus>
              <numRef>
                <f>'Analysis_202509050501'!$AP$3:$AP$18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'Analysis_202509050501'!$AP$3:$AP$18</f>
              </numRef>
            </minus>
            <plus>
              <numRef>
                <f>'Analysis_202509050501'!$AN$3:$AN$18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</cols>
  <sheetData>
    <row r="1">
      <c r="A1" s="1" t="inlineStr">
        <is>
          <t>KeibaAI V15 分析知見サマリー</t>
        </is>
      </c>
    </row>
    <row r="3">
      <c r="A3" s="2" t="inlineStr">
        <is>
          <t>■ 購入戦略別ROI（検証済み）</t>
        </is>
      </c>
    </row>
    <row r="4">
      <c r="A4" s="3" t="inlineStr">
        <is>
          <t>券種</t>
        </is>
      </c>
      <c r="B4" s="3" t="inlineStr">
        <is>
          <t>最適戦略</t>
        </is>
      </c>
      <c r="C4" s="3" t="inlineStr">
        <is>
          <t>ROI</t>
        </is>
      </c>
      <c r="D4" s="3" t="inlineStr">
        <is>
          <t>備考</t>
        </is>
      </c>
    </row>
    <row r="5">
      <c r="A5" s="4" t="inlineStr">
        <is>
          <t>単勝</t>
        </is>
      </c>
      <c r="B5" s="4" t="inlineStr">
        <is>
          <t>予測1位 + オッズ10-50倍</t>
        </is>
      </c>
      <c r="C5" s="4" t="inlineStr">
        <is>
          <t>113.7%</t>
        </is>
      </c>
      <c r="D5" s="4" t="inlineStr">
        <is>
          <t>月5-10回程度</t>
        </is>
      </c>
    </row>
    <row r="6">
      <c r="A6" s="4" t="inlineStr">
        <is>
          <t>単勝</t>
        </is>
      </c>
      <c r="B6" s="4" t="inlineStr">
        <is>
          <t>予測1位 + オッズ20-50倍</t>
        </is>
      </c>
      <c r="C6" s="4" t="inlineStr">
        <is>
          <t>130%+</t>
        </is>
      </c>
      <c r="D6" s="4" t="inlineStr">
        <is>
          <t>購入機会さらに少</t>
        </is>
      </c>
    </row>
    <row r="7">
      <c r="A7" s="4" t="inlineStr">
        <is>
          <t>複勝</t>
        </is>
      </c>
      <c r="B7" s="4" t="inlineStr">
        <is>
          <t>予測Top3</t>
        </is>
      </c>
      <c r="C7" s="4" t="inlineStr">
        <is>
          <t>95-100%</t>
        </is>
      </c>
      <c r="D7" s="4" t="inlineStr">
        <is>
          <t>安定だが低ROI</t>
        </is>
      </c>
    </row>
    <row r="8">
      <c r="A8" s="4" t="inlineStr">
        <is>
          <t>馬連</t>
        </is>
      </c>
      <c r="B8" s="4" t="inlineStr">
        <is>
          <t>予測1位+2位 各20-50倍</t>
        </is>
      </c>
      <c r="C8" s="4" t="inlineStr">
        <is>
          <t>184.0%</t>
        </is>
      </c>
      <c r="D8" s="4" t="inlineStr">
        <is>
          <t>稀な機会</t>
        </is>
      </c>
    </row>
    <row r="11">
      <c r="A11" s="2" t="inlineStr">
        <is>
          <t>■ 予測順位別の実1着率・3着内率</t>
        </is>
      </c>
    </row>
    <row r="12">
      <c r="A12" s="3" t="inlineStr">
        <is>
          <t>予測順位</t>
        </is>
      </c>
      <c r="B12" s="3" t="inlineStr">
        <is>
          <t>1着率</t>
        </is>
      </c>
      <c r="C12" s="3" t="inlineStr">
        <is>
          <t>3着内率</t>
        </is>
      </c>
      <c r="D12" s="3" t="inlineStr">
        <is>
          <t>解説</t>
        </is>
      </c>
    </row>
    <row r="13">
      <c r="A13" s="4" t="inlineStr">
        <is>
          <t>1位</t>
        </is>
      </c>
      <c r="B13" s="4" t="inlineStr">
        <is>
          <t>21-25%</t>
        </is>
      </c>
      <c r="C13" s="4" t="inlineStr">
        <is>
          <t>50-55%</t>
        </is>
      </c>
      <c r="D13" s="4" t="inlineStr">
        <is>
          <t>最も信頼度が高い</t>
        </is>
      </c>
    </row>
    <row r="14">
      <c r="A14" s="4" t="inlineStr">
        <is>
          <t>2位</t>
        </is>
      </c>
      <c r="B14" s="4" t="inlineStr">
        <is>
          <t>15-18%</t>
        </is>
      </c>
      <c r="C14" s="4" t="inlineStr">
        <is>
          <t>42-47%</t>
        </is>
      </c>
      <c r="D14" s="4" t="inlineStr">
        <is>
          <t>本命候補</t>
        </is>
      </c>
    </row>
    <row r="15">
      <c r="A15" s="4" t="inlineStr">
        <is>
          <t>3位</t>
        </is>
      </c>
      <c r="B15" s="4" t="inlineStr">
        <is>
          <t>12-14%</t>
        </is>
      </c>
      <c r="C15" s="4" t="inlineStr">
        <is>
          <t>38-42%</t>
        </is>
      </c>
      <c r="D15" s="4" t="inlineStr">
        <is>
          <t>複勝圏内</t>
        </is>
      </c>
    </row>
    <row r="16">
      <c r="A16" s="4" t="inlineStr">
        <is>
          <t>4位</t>
        </is>
      </c>
      <c r="B16" s="4" t="inlineStr">
        <is>
          <t>9-11%</t>
        </is>
      </c>
      <c r="C16" s="4" t="inlineStr">
        <is>
          <t>32-36%</t>
        </is>
      </c>
      <c r="D16" s="4" t="inlineStr">
        <is>
          <t>穴候補</t>
        </is>
      </c>
    </row>
    <row r="17">
      <c r="A17" s="4" t="inlineStr">
        <is>
          <t>5位</t>
        </is>
      </c>
      <c r="B17" s="4" t="inlineStr">
        <is>
          <t>7-9%</t>
        </is>
      </c>
      <c r="C17" s="4" t="inlineStr">
        <is>
          <t>28-32%</t>
        </is>
      </c>
      <c r="D17" s="4" t="inlineStr">
        <is>
          <t>穴候補</t>
        </is>
      </c>
    </row>
    <row r="20">
      <c r="A20" s="2" t="inlineStr">
        <is>
          <t>■ オッズ帯別ROI（予測1位の馬を単勝購入した場合）</t>
        </is>
      </c>
    </row>
    <row r="21">
      <c r="A21" s="3" t="inlineStr">
        <is>
          <t>オッズ帯</t>
        </is>
      </c>
      <c r="B21" s="3" t="inlineStr">
        <is>
          <t>予測1位ROI</t>
        </is>
      </c>
      <c r="C21" s="3" t="inlineStr">
        <is>
          <t>判定</t>
        </is>
      </c>
      <c r="D21" s="3" t="inlineStr">
        <is>
          <t>推奨度</t>
        </is>
      </c>
    </row>
    <row r="22">
      <c r="A22" s="4" t="inlineStr">
        <is>
          <t>1-3倍</t>
        </is>
      </c>
      <c r="B22" s="4" t="inlineStr">
        <is>
          <t>70-80%</t>
        </is>
      </c>
      <c r="C22" s="4" t="inlineStr">
        <is>
          <t>非推奨</t>
        </is>
      </c>
      <c r="D22" s="4" t="inlineStr">
        <is>
          <t>★</t>
        </is>
      </c>
    </row>
    <row r="23">
      <c r="A23" s="4" t="inlineStr">
        <is>
          <t>3-10倍</t>
        </is>
      </c>
      <c r="B23" s="4" t="inlineStr">
        <is>
          <t>85-95%</t>
        </is>
      </c>
      <c r="C23" s="4" t="inlineStr">
        <is>
          <t>普通</t>
        </is>
      </c>
      <c r="D23" s="4" t="inlineStr">
        <is>
          <t>★★</t>
        </is>
      </c>
    </row>
    <row r="24">
      <c r="A24" s="4" t="inlineStr">
        <is>
          <t>10-20倍</t>
        </is>
      </c>
      <c r="B24" s="4" t="inlineStr">
        <is>
          <t>100-110%</t>
        </is>
      </c>
      <c r="C24" s="4" t="inlineStr">
        <is>
          <t>推奨</t>
        </is>
      </c>
      <c r="D24" s="5" t="inlineStr">
        <is>
          <t>★★★</t>
        </is>
      </c>
    </row>
    <row r="25">
      <c r="A25" s="4" t="inlineStr">
        <is>
          <t>20-50倍</t>
        </is>
      </c>
      <c r="B25" s="4" t="inlineStr">
        <is>
          <t>110-130%</t>
        </is>
      </c>
      <c r="C25" s="4" t="inlineStr">
        <is>
          <t>強く推奨</t>
        </is>
      </c>
      <c r="D25" s="5" t="inlineStr">
        <is>
          <t>★★★</t>
        </is>
      </c>
    </row>
    <row r="26">
      <c r="A26" s="4" t="inlineStr">
        <is>
          <t>50-100倍</t>
        </is>
      </c>
      <c r="B26" s="4" t="inlineStr">
        <is>
          <t>80-100%</t>
        </is>
      </c>
      <c r="C26" s="4" t="inlineStr">
        <is>
          <t>注意</t>
        </is>
      </c>
      <c r="D26" s="4" t="inlineStr">
        <is>
          <t>★★</t>
        </is>
      </c>
    </row>
    <row r="27">
      <c r="A27" s="4" t="inlineStr">
        <is>
          <t>100倍以上</t>
        </is>
      </c>
      <c r="B27" s="4" t="inlineStr">
        <is>
          <t>60-80%</t>
        </is>
      </c>
      <c r="C27" s="4" t="inlineStr">
        <is>
          <t>非推奨</t>
        </is>
      </c>
      <c r="D27" s="4" t="inlineStr">
        <is>
          <t>★</t>
        </is>
      </c>
    </row>
    <row r="30">
      <c r="A30" s="2" t="inlineStr">
        <is>
          <t>■ 穴馬・本命馬のパターン</t>
        </is>
      </c>
    </row>
    <row r="31">
      <c r="A31" s="6" t="inlineStr">
        <is>
          <t>【穴馬が来るパターン】</t>
        </is>
      </c>
    </row>
    <row r="32">
      <c r="A32" t="inlineStr">
        <is>
          <t>・オッズ10倍以上の勝馬の約35%は予測Top3に入っている</t>
        </is>
      </c>
    </row>
    <row r="33">
      <c r="A33" t="inlineStr">
        <is>
          <t>・予測Top3に入っていれば穴馬でも信頼度が高い</t>
        </is>
      </c>
    </row>
    <row r="34">
      <c r="A34" t="inlineStr">
        <is>
          <t>・逆に予測5位以下の穴馬はほぼ来ない</t>
        </is>
      </c>
    </row>
    <row r="35">
      <c r="A35" t="inlineStr"/>
    </row>
    <row r="36">
      <c r="A36" s="6" t="inlineStr">
        <is>
          <t>【本命馬が負けるパターン】</t>
        </is>
      </c>
    </row>
    <row r="37">
      <c r="A37" t="inlineStr">
        <is>
          <t>・低オッズ（~3倍）の予測1位でも約40%は負ける</t>
        </is>
      </c>
    </row>
    <row r="38">
      <c r="A38" t="inlineStr">
        <is>
          <t>・負ける時の勝馬の特徴: 平均予測順位2-3位、平均オッズ8-12倍</t>
        </is>
      </c>
    </row>
    <row r="39">
      <c r="A39" t="inlineStr">
        <is>
          <t>・多くの場合、勝馬は予測Top5以内</t>
        </is>
      </c>
    </row>
    <row r="42">
      <c r="A42" s="2" t="inlineStr">
        <is>
          <t>■ モデルが重視する特徴量（参考）</t>
        </is>
      </c>
    </row>
    <row r="43">
      <c r="A43" s="3" t="inlineStr">
        <is>
          <t>順位</t>
        </is>
      </c>
      <c r="B43" s="3" t="inlineStr">
        <is>
          <t>特徴量</t>
        </is>
      </c>
      <c r="C43" s="3" t="inlineStr">
        <is>
          <t>意味</t>
        </is>
      </c>
      <c r="D43" s="3" t="inlineStr">
        <is>
          <t>活用方法</t>
        </is>
      </c>
    </row>
    <row r="44">
      <c r="A44" s="4" t="inlineStr">
        <is>
          <t>1</t>
        </is>
      </c>
      <c r="B44" s="4" t="inlineStr">
        <is>
          <t>過去平均着順</t>
        </is>
      </c>
      <c r="C44" s="4" t="inlineStr">
        <is>
          <t>安定した成績の馬ほど強い</t>
        </is>
      </c>
      <c r="D44" s="4" t="inlineStr">
        <is>
          <t>低いほど◎</t>
        </is>
      </c>
    </row>
    <row r="45">
      <c r="A45" s="4" t="inlineStr">
        <is>
          <t>2</t>
        </is>
      </c>
      <c r="B45" s="4" t="inlineStr">
        <is>
          <t>上がり3F順位平均</t>
        </is>
      </c>
      <c r="C45" s="4" t="inlineStr">
        <is>
          <t>末脚の強さ</t>
        </is>
      </c>
      <c r="D45" s="4" t="inlineStr">
        <is>
          <t>低いほど◎</t>
        </is>
      </c>
    </row>
    <row r="46">
      <c r="A46" s="4" t="inlineStr">
        <is>
          <t>3</t>
        </is>
      </c>
      <c r="B46" s="4" t="inlineStr">
        <is>
          <t>騎手×会場勝率</t>
        </is>
      </c>
      <c r="C46" s="4" t="inlineStr">
        <is>
          <t>コース適性</t>
        </is>
      </c>
      <c r="D46" s="4" t="inlineStr">
        <is>
          <t>高いほど◎</t>
        </is>
      </c>
    </row>
    <row r="47">
      <c r="A47" s="4" t="inlineStr">
        <is>
          <t>4</t>
        </is>
      </c>
      <c r="B47" s="4" t="inlineStr">
        <is>
          <t>馬×距離勝率</t>
        </is>
      </c>
      <c r="C47" s="4" t="inlineStr">
        <is>
          <t>距離適性</t>
        </is>
      </c>
      <c r="D47" s="4" t="inlineStr">
        <is>
          <t>高いほど◎</t>
        </is>
      </c>
    </row>
    <row r="48">
      <c r="A48" s="4" t="inlineStr">
        <is>
          <t>5</t>
        </is>
      </c>
      <c r="B48" s="4" t="inlineStr">
        <is>
          <t>休養間隔</t>
        </is>
      </c>
      <c r="C48" s="4" t="inlineStr">
        <is>
          <t>適度な間隔が良い</t>
        </is>
      </c>
      <c r="D48" s="4" t="inlineStr">
        <is>
          <t>30-60日が理想</t>
        </is>
      </c>
    </row>
    <row r="51">
      <c r="A51" s="2" t="inlineStr">
        <is>
          <t>■ 注意事項</t>
        </is>
      </c>
    </row>
    <row r="52">
      <c r="A52" t="inlineStr">
        <is>
          <t>・上記の数値はKeibaAI V15モデルの過去検証結果に基づきます</t>
        </is>
      </c>
    </row>
    <row r="53">
      <c r="A53" t="inlineStr">
        <is>
          <t>・実際の投資判断は自己責任でお願いします</t>
        </is>
      </c>
    </row>
    <row r="54">
      <c r="A54" t="inlineStr">
        <is>
          <t>・大衆に認知されやすい特徴（人気騎手・有名厩舎等）はオッズに織り込み済みのため、単独では優位性がありません</t>
        </is>
      </c>
    </row>
  </sheetData>
  <mergeCells count="12">
    <mergeCell ref="A37:D37"/>
    <mergeCell ref="A31:D31"/>
    <mergeCell ref="A53:D53"/>
    <mergeCell ref="A34:D34"/>
    <mergeCell ref="A35:D35"/>
    <mergeCell ref="A38:D38"/>
    <mergeCell ref="A39:D39"/>
    <mergeCell ref="A54:D54"/>
    <mergeCell ref="A52:D52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01R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スティーブ</t>
        </is>
      </c>
      <c r="C3" s="4" t="inlineStr">
        <is>
          <t>吉村</t>
        </is>
      </c>
      <c r="D3" s="4" t="n">
        <v>57.9</v>
      </c>
      <c r="E3" s="4" t="n">
        <v>9</v>
      </c>
      <c r="F3" s="4" t="n">
        <v>1</v>
      </c>
      <c r="G3" s="4" t="n">
        <v>13</v>
      </c>
      <c r="H3" s="4" t="inlineStr"/>
      <c r="I3" s="4" t="n">
        <v>36.7</v>
      </c>
      <c r="J3" s="4" t="n"/>
      <c r="K3" s="4" t="n">
        <v>0</v>
      </c>
      <c r="L3" s="4" t="n"/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アストラリオン</t>
        </is>
      </c>
      <c r="C4" s="4" t="inlineStr">
        <is>
          <t>ジェルー</t>
        </is>
      </c>
      <c r="D4" s="4" t="n">
        <v>22.1</v>
      </c>
      <c r="E4" s="4" t="n">
        <v>7</v>
      </c>
      <c r="F4" s="4" t="n">
        <v>1</v>
      </c>
      <c r="G4" s="4" t="n">
        <v>8</v>
      </c>
      <c r="H4" s="4" t="inlineStr"/>
      <c r="I4" s="4" t="n">
        <v>38.5</v>
      </c>
      <c r="J4" s="4" t="n"/>
      <c r="K4" s="4" t="n">
        <v>20</v>
      </c>
      <c r="L4" s="4" t="n">
        <v>0.22</v>
      </c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メイショウナナユキ</t>
        </is>
      </c>
      <c r="C5" s="4" t="inlineStr">
        <is>
          <t>泉谷</t>
        </is>
      </c>
      <c r="D5" s="4" t="n">
        <v>435.2</v>
      </c>
      <c r="E5" s="4" t="n">
        <v>13</v>
      </c>
      <c r="F5" s="4" t="n">
        <v>1</v>
      </c>
      <c r="G5" s="4" t="n">
        <v>14</v>
      </c>
      <c r="H5" s="4" t="inlineStr"/>
      <c r="I5" s="4" t="n">
        <v>40.7</v>
      </c>
      <c r="J5" s="4" t="n"/>
      <c r="K5" s="4" t="n">
        <v>0</v>
      </c>
      <c r="L5" s="4" t="n"/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ゴッドシュアウイン</t>
        </is>
      </c>
      <c r="C6" s="4" t="inlineStr">
        <is>
          <t>酒井</t>
        </is>
      </c>
      <c r="D6" s="4" t="n">
        <v>134.9</v>
      </c>
      <c r="E6" s="4" t="n">
        <v>11</v>
      </c>
      <c r="F6" s="4" t="n">
        <v>1</v>
      </c>
      <c r="G6" s="4" t="n">
        <v>11</v>
      </c>
      <c r="H6" s="4" t="inlineStr"/>
      <c r="I6" s="4" t="n">
        <v>38.6</v>
      </c>
      <c r="J6" s="4" t="n"/>
      <c r="K6" s="4" t="n">
        <v>0</v>
      </c>
      <c r="L6" s="4" t="n"/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ゴールデンバランス</t>
        </is>
      </c>
      <c r="C7" s="4" t="inlineStr">
        <is>
          <t>松山</t>
        </is>
      </c>
      <c r="D7" s="4" t="n">
        <v>13.8</v>
      </c>
      <c r="E7" s="4" t="n">
        <v>6</v>
      </c>
      <c r="F7" s="4" t="n">
        <v>2</v>
      </c>
      <c r="G7" s="4" t="n">
        <v>13</v>
      </c>
      <c r="H7" s="4" t="inlineStr"/>
      <c r="I7" s="4" t="n">
        <v>42.2</v>
      </c>
      <c r="J7" s="4" t="n"/>
      <c r="K7" s="4" t="n">
        <v>0</v>
      </c>
      <c r="L7" s="4" t="n"/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ジュディーイメル</t>
        </is>
      </c>
      <c r="C8" s="4" t="inlineStr">
        <is>
          <t>藤岡佑</t>
        </is>
      </c>
      <c r="D8" s="4" t="n">
        <v>8.800000000000001</v>
      </c>
      <c r="E8" s="4" t="n">
        <v>5</v>
      </c>
      <c r="F8" s="4" t="n">
        <v>6</v>
      </c>
      <c r="G8" s="4" t="n">
        <v>5.2</v>
      </c>
      <c r="H8" s="4" t="inlineStr">
        <is>
          <t>16.7%</t>
        </is>
      </c>
      <c r="I8" s="4" t="n">
        <v>37.7</v>
      </c>
      <c r="J8" s="4" t="n">
        <v>4</v>
      </c>
      <c r="K8" s="4" t="n">
        <v>35.2</v>
      </c>
      <c r="L8" s="4" t="n">
        <v>0.67</v>
      </c>
      <c r="M8" s="4" t="inlineStr">
        <is>
          <t>-</t>
        </is>
      </c>
      <c r="N8" s="4" t="inlineStr">
        <is>
          <t>直近4.0着平均で状態良好</t>
        </is>
      </c>
    </row>
    <row r="9">
      <c r="A9" s="4" t="inlineStr">
        <is>
          <t>7</t>
        </is>
      </c>
      <c r="B9" s="4" t="inlineStr">
        <is>
          <t>レザーアンドレース</t>
        </is>
      </c>
      <c r="C9" s="4" t="inlineStr">
        <is>
          <t>▲和田陽</t>
        </is>
      </c>
      <c r="D9" s="4" t="n">
        <v>438</v>
      </c>
      <c r="E9" s="4" t="n">
        <v>14</v>
      </c>
      <c r="F9" s="4" t="n">
        <v>2</v>
      </c>
      <c r="G9" s="4" t="n">
        <v>10.5</v>
      </c>
      <c r="H9" s="4" t="inlineStr"/>
      <c r="I9" s="4" t="n">
        <v>38</v>
      </c>
      <c r="J9" s="4" t="n"/>
      <c r="K9" s="4" t="n">
        <v>3.3</v>
      </c>
      <c r="L9" s="4" t="n">
        <v>4.38</v>
      </c>
      <c r="M9" s="4" t="inlineStr">
        <is>
          <t>-</t>
        </is>
      </c>
      <c r="N9" s="4" t="inlineStr">
        <is>
          <t>オッズ438.0倍は過小評価、妙味大</t>
        </is>
      </c>
    </row>
    <row r="10">
      <c r="A10" s="4" t="inlineStr">
        <is>
          <t>8</t>
        </is>
      </c>
      <c r="B10" s="4" t="inlineStr">
        <is>
          <t>ピーチアバランチェ</t>
        </is>
      </c>
      <c r="C10" s="4" t="inlineStr">
        <is>
          <t>△鷲頭</t>
        </is>
      </c>
      <c r="D10" s="4" t="n">
        <v>462.9</v>
      </c>
      <c r="E10" s="4" t="n">
        <v>16</v>
      </c>
      <c r="F10" s="4" t="n">
        <v>2</v>
      </c>
      <c r="G10" s="4" t="n">
        <v>14</v>
      </c>
      <c r="H10" s="4" t="inlineStr"/>
      <c r="I10" s="4" t="n">
        <v>37</v>
      </c>
      <c r="J10" s="4" t="n"/>
      <c r="K10" s="4" t="n">
        <v>0</v>
      </c>
      <c r="L10" s="4" t="n"/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フェスティヴドレス</t>
        </is>
      </c>
      <c r="C11" s="4" t="inlineStr">
        <is>
          <t>岩田望</t>
        </is>
      </c>
      <c r="D11" s="4" t="n">
        <v>2.4</v>
      </c>
      <c r="E11" s="4" t="n">
        <v>1</v>
      </c>
      <c r="F11" s="4" t="n">
        <v>3</v>
      </c>
      <c r="G11" s="4" t="n">
        <v>4.7</v>
      </c>
      <c r="H11" s="4" t="inlineStr">
        <is>
          <t>33.3%</t>
        </is>
      </c>
      <c r="I11" s="4" t="n">
        <v>35.4</v>
      </c>
      <c r="J11" s="4" t="n">
        <v>4.7</v>
      </c>
      <c r="K11" s="4" t="n">
        <v>45.5</v>
      </c>
      <c r="L11" s="4" t="n">
        <v>0.31</v>
      </c>
      <c r="M11" s="4" t="inlineStr">
        <is>
          <t>-</t>
        </is>
      </c>
      <c r="N11" s="4" t="inlineStr">
        <is>
          <t>オッズ2.4倍は人気先行、実力に見合わず</t>
        </is>
      </c>
    </row>
    <row r="12">
      <c r="A12" s="4" t="inlineStr">
        <is>
          <t>10</t>
        </is>
      </c>
      <c r="B12" s="4" t="inlineStr">
        <is>
          <t>レインボーステート</t>
        </is>
      </c>
      <c r="C12" s="4" t="inlineStr">
        <is>
          <t>Ｃデムーロ</t>
        </is>
      </c>
      <c r="D12" s="4" t="n">
        <v>4.5</v>
      </c>
      <c r="E12" s="4" t="n">
        <v>2</v>
      </c>
      <c r="F12" s="4" t="n">
        <v>2</v>
      </c>
      <c r="G12" s="4" t="n">
        <v>8</v>
      </c>
      <c r="H12" s="4" t="inlineStr">
        <is>
          <t>50.0%</t>
        </is>
      </c>
      <c r="I12" s="4" t="n">
        <v>36.5</v>
      </c>
      <c r="J12" s="4" t="n"/>
      <c r="K12" s="4" t="n">
        <v>30</v>
      </c>
      <c r="L12" s="4" t="n">
        <v>0.23</v>
      </c>
      <c r="M12" s="8" t="inlineStr">
        <is>
          <t>見送り</t>
        </is>
      </c>
      <c r="N12" s="4" t="inlineStr">
        <is>
          <t>複勝率50.0%で安定感あり／オッズ4.5倍は人気先行、実力に見合わず</t>
        </is>
      </c>
    </row>
    <row r="13">
      <c r="A13" s="4" t="inlineStr">
        <is>
          <t>11</t>
        </is>
      </c>
      <c r="B13" s="4" t="inlineStr">
        <is>
          <t>タイガーロード</t>
        </is>
      </c>
      <c r="C13" s="4" t="inlineStr">
        <is>
          <t>田口</t>
        </is>
      </c>
      <c r="D13" s="4" t="n">
        <v>95.2</v>
      </c>
      <c r="E13" s="4" t="n">
        <v>10</v>
      </c>
      <c r="F13" s="4" t="n">
        <v>1</v>
      </c>
      <c r="G13" s="4" t="n">
        <v>7</v>
      </c>
      <c r="H13" s="4" t="inlineStr"/>
      <c r="I13" s="4" t="n">
        <v>39.2</v>
      </c>
      <c r="J13" s="4" t="n"/>
      <c r="K13" s="4" t="n">
        <v>26.7</v>
      </c>
      <c r="L13" s="4" t="n">
        <v>3.19</v>
      </c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クリコメリー</t>
        </is>
      </c>
      <c r="C14" s="4" t="inlineStr">
        <is>
          <t>川又</t>
        </is>
      </c>
      <c r="D14" s="4" t="n">
        <v>413.5</v>
      </c>
      <c r="E14" s="4" t="n">
        <v>12</v>
      </c>
      <c r="F14" s="4" t="n">
        <v>1</v>
      </c>
      <c r="G14" s="4" t="n">
        <v>10</v>
      </c>
      <c r="H14" s="4" t="inlineStr"/>
      <c r="I14" s="4" t="n">
        <v>35.3</v>
      </c>
      <c r="J14" s="4" t="n"/>
      <c r="K14" s="4" t="n">
        <v>14.4</v>
      </c>
      <c r="L14" s="4" t="n">
        <v>4.13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ブリオーニ</t>
        </is>
      </c>
      <c r="C15" s="4" t="inlineStr">
        <is>
          <t>▲橋木</t>
        </is>
      </c>
      <c r="D15" s="4" t="n">
        <v>443.2</v>
      </c>
      <c r="E15" s="4" t="n">
        <v>15</v>
      </c>
      <c r="F15" s="4" t="n">
        <v>1</v>
      </c>
      <c r="G15" s="4" t="n">
        <v>15</v>
      </c>
      <c r="H15" s="4" t="inlineStr"/>
      <c r="I15" s="4" t="n">
        <v>42.7</v>
      </c>
      <c r="J15" s="4" t="n"/>
      <c r="K15" s="4" t="n">
        <v>0</v>
      </c>
      <c r="L15" s="4" t="n"/>
      <c r="M15" s="4" t="inlineStr">
        <is>
          <t>様子見</t>
        </is>
      </c>
      <c r="N15" s="4" t="inlineStr">
        <is>
          <t>過去走データ不足で評価困難</t>
        </is>
      </c>
    </row>
    <row r="16">
      <c r="A16" s="4" t="inlineStr">
        <is>
          <t>14</t>
        </is>
      </c>
      <c r="B16" s="4" t="inlineStr">
        <is>
          <t>タイセイグローバル</t>
        </is>
      </c>
      <c r="C16" s="4" t="inlineStr">
        <is>
          <t>団野</t>
        </is>
      </c>
      <c r="D16" s="4" t="n">
        <v>45.6</v>
      </c>
      <c r="E16" s="4" t="n">
        <v>8</v>
      </c>
      <c r="F16" s="4" t="n">
        <v>2</v>
      </c>
      <c r="G16" s="4" t="n">
        <v>8.5</v>
      </c>
      <c r="H16" s="4" t="inlineStr"/>
      <c r="I16" s="4" t="n">
        <v>36.2</v>
      </c>
      <c r="J16" s="4" t="n"/>
      <c r="K16" s="4" t="n">
        <v>16.7</v>
      </c>
      <c r="L16" s="4" t="n">
        <v>0.46</v>
      </c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ストラーダ</t>
        </is>
      </c>
      <c r="C17" s="4" t="inlineStr">
        <is>
          <t>坂井</t>
        </is>
      </c>
      <c r="D17" s="4" t="n">
        <v>5.1</v>
      </c>
      <c r="E17" s="4" t="n">
        <v>3</v>
      </c>
      <c r="F17" s="4" t="n">
        <v>1</v>
      </c>
      <c r="G17" s="4" t="n">
        <v>4</v>
      </c>
      <c r="H17" s="4" t="inlineStr"/>
      <c r="I17" s="4" t="n">
        <v>38.4</v>
      </c>
      <c r="J17" s="4" t="n"/>
      <c r="K17" s="4" t="n">
        <v>46.7</v>
      </c>
      <c r="L17" s="4" t="n">
        <v>0.68</v>
      </c>
      <c r="M17" s="4" t="inlineStr">
        <is>
          <t>様子見</t>
        </is>
      </c>
      <c r="N17" s="4" t="inlineStr">
        <is>
          <t>過去走データ不足で評価困難</t>
        </is>
      </c>
    </row>
    <row r="18">
      <c r="A18" s="4" t="inlineStr">
        <is>
          <t>16</t>
        </is>
      </c>
      <c r="B18" s="4" t="inlineStr">
        <is>
          <t>モズプリフォール</t>
        </is>
      </c>
      <c r="C18" s="4" t="inlineStr">
        <is>
          <t>北村友</t>
        </is>
      </c>
      <c r="D18" s="4" t="n">
        <v>7.6</v>
      </c>
      <c r="E18" s="4" t="n">
        <v>4</v>
      </c>
      <c r="F18" s="4" t="n">
        <v>4</v>
      </c>
      <c r="G18" s="4" t="n">
        <v>6.2</v>
      </c>
      <c r="H18" s="4" t="inlineStr">
        <is>
          <t>25.0%</t>
        </is>
      </c>
      <c r="I18" s="4" t="n">
        <v>36.5</v>
      </c>
      <c r="J18" s="4" t="n">
        <v>7.3</v>
      </c>
      <c r="K18" s="4" t="n">
        <v>30.4</v>
      </c>
      <c r="L18" s="4" t="n">
        <v>0.4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3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2025/10/04</t>
        </is>
      </c>
      <c r="F2" t="inlineStr">
        <is>
          <t>京都</t>
        </is>
      </c>
      <c r="G2" t="inlineStr">
        <is>
          <t>3</t>
        </is>
      </c>
      <c r="H2" t="inlineStr">
        <is>
          <t>1</t>
        </is>
      </c>
      <c r="I2" t="inlineStr">
        <is>
          <t>芝</t>
        </is>
      </c>
      <c r="J2" t="inlineStr">
        <is>
          <t>2000</t>
        </is>
      </c>
      <c r="K2" t="inlineStr">
        <is>
          <t>5</t>
        </is>
      </c>
      <c r="L2" t="inlineStr">
        <is>
          <t>重</t>
        </is>
      </c>
      <c r="M2" t="inlineStr">
        <is>
          <t>小雨</t>
        </is>
      </c>
      <c r="N2" t="inlineStr">
        <is>
          <t>14</t>
        </is>
      </c>
      <c r="O2" t="n">
        <v>3</v>
      </c>
      <c r="P2" t="n">
        <v>3</v>
      </c>
      <c r="Q2" t="inlineStr">
        <is>
          <t>スティーブ</t>
        </is>
      </c>
      <c r="R2" t="n">
        <v>56</v>
      </c>
      <c r="S2" t="inlineStr">
        <is>
          <t>小沢大仁</t>
        </is>
      </c>
      <c r="T2" t="inlineStr">
        <is>
          <t>高橋亮</t>
        </is>
      </c>
      <c r="U2" t="inlineStr">
        <is>
          <t>2:04.8</t>
        </is>
      </c>
      <c r="V2" t="n">
        <v>124.8</v>
      </c>
      <c r="W2" t="inlineStr">
        <is>
          <t>2.5</t>
        </is>
      </c>
      <c r="X2" t="n">
        <v>14</v>
      </c>
      <c r="Y2" t="n">
        <v>249.9</v>
      </c>
      <c r="Z2" t="n">
        <v>36.7</v>
      </c>
      <c r="AA2" t="n">
        <v>36.7</v>
      </c>
      <c r="AB2" t="n">
        <v>37.3</v>
      </c>
      <c r="AC2" t="n">
        <v>35.1</v>
      </c>
      <c r="AD2" t="inlineStr">
        <is>
          <t>5-5-12-14</t>
        </is>
      </c>
      <c r="AE2" t="inlineStr">
        <is>
          <t>5</t>
        </is>
      </c>
      <c r="AF2" t="inlineStr">
        <is>
          <t>5</t>
        </is>
      </c>
      <c r="AG2" t="inlineStr">
        <is>
          <t>12</t>
        </is>
      </c>
      <c r="AH2" t="n">
        <v>14</v>
      </c>
      <c r="AI2" t="n">
        <v>13</v>
      </c>
      <c r="AJ2" t="n">
        <v>466</v>
      </c>
      <c r="AK2" t="n">
        <v>0</v>
      </c>
      <c r="AL2" t="inlineStr">
        <is>
          <t>2歳新馬</t>
        </is>
      </c>
      <c r="AM2" t="inlineStr">
        <is>
          <t>牡</t>
        </is>
      </c>
      <c r="AN2" t="n">
        <v>2</v>
      </c>
      <c r="AO2" t="n">
        <v>121.7</v>
      </c>
      <c r="AP2" t="n">
        <v>123.4</v>
      </c>
      <c r="AQ2" t="n">
        <v>121</v>
      </c>
      <c r="AR2" t="n">
        <v>120.9</v>
      </c>
      <c r="AS2" t="n">
        <v>34.9</v>
      </c>
      <c r="AT2" t="n">
        <v>35.6</v>
      </c>
      <c r="AU2" t="n">
        <v>3.1</v>
      </c>
      <c r="AV2" t="n">
        <v>1.4</v>
      </c>
      <c r="AW2" t="n">
        <v>3.8</v>
      </c>
      <c r="AX2" t="n">
        <v>3.9</v>
      </c>
      <c r="AY2" t="n">
        <v>1.8</v>
      </c>
      <c r="AZ2" t="n">
        <v>1.1</v>
      </c>
      <c r="BA2" t="n">
        <v>46.6</v>
      </c>
      <c r="BB2" t="n">
        <v>46.4</v>
      </c>
      <c r="BC2" t="n">
        <v>-0.8</v>
      </c>
      <c r="BD2" t="n">
        <v>50.8</v>
      </c>
      <c r="BE2" t="inlineStr">
        <is>
          <t>2023105461</t>
        </is>
      </c>
      <c r="BF2" t="inlineStr">
        <is>
          <t>202508030105</t>
        </is>
      </c>
    </row>
    <row r="3">
      <c r="A3" s="10" t="inlineStr">
        <is>
          <t>1</t>
        </is>
      </c>
      <c r="B3" s="10" t="inlineStr">
        <is>
          <t>2</t>
        </is>
      </c>
      <c r="C3" t="inlineStr">
        <is>
          <t>〇</t>
        </is>
      </c>
      <c r="D3" t="inlineStr"/>
      <c r="E3" t="inlineStr">
        <is>
          <t>2025/11/01</t>
        </is>
      </c>
      <c r="F3" t="inlineStr">
        <is>
          <t>京都</t>
        </is>
      </c>
      <c r="G3" t="inlineStr">
        <is>
          <t>3</t>
        </is>
      </c>
      <c r="H3" t="inlineStr">
        <is>
          <t>10</t>
        </is>
      </c>
      <c r="I3" t="inlineStr">
        <is>
          <t>芝</t>
        </is>
      </c>
      <c r="J3" t="inlineStr">
        <is>
          <t>2000</t>
        </is>
      </c>
      <c r="K3" t="inlineStr">
        <is>
          <t>5</t>
        </is>
      </c>
      <c r="L3" t="inlineStr">
        <is>
          <t>稍</t>
        </is>
      </c>
      <c r="M3" t="inlineStr">
        <is>
          <t>晴</t>
        </is>
      </c>
      <c r="N3" t="inlineStr">
        <is>
          <t>9</t>
        </is>
      </c>
      <c r="O3" t="n">
        <v>4</v>
      </c>
      <c r="P3" t="n">
        <v>4</v>
      </c>
      <c r="Q3" t="inlineStr">
        <is>
          <t>アストラリオン</t>
        </is>
      </c>
      <c r="R3" t="n">
        <v>56</v>
      </c>
      <c r="S3" t="inlineStr">
        <is>
          <t>高杉吏麒</t>
        </is>
      </c>
      <c r="T3" t="inlineStr">
        <is>
          <t>寺島良</t>
        </is>
      </c>
      <c r="U3" t="inlineStr">
        <is>
          <t>2:05.0</t>
        </is>
      </c>
      <c r="V3" t="n">
        <v>125</v>
      </c>
      <c r="W3" t="inlineStr">
        <is>
          <t>2.7</t>
        </is>
      </c>
      <c r="X3" t="n">
        <v>6</v>
      </c>
      <c r="Y3" t="n">
        <v>23.3</v>
      </c>
      <c r="Z3" t="n">
        <v>38.5</v>
      </c>
      <c r="AA3" t="n">
        <v>38.5</v>
      </c>
      <c r="AB3" t="n">
        <v>37.3</v>
      </c>
      <c r="AC3" t="n">
        <v>35.8</v>
      </c>
      <c r="AD3" t="inlineStr">
        <is>
          <t>1-1-1-1</t>
        </is>
      </c>
      <c r="AE3" t="inlineStr">
        <is>
          <t>1</t>
        </is>
      </c>
      <c r="AF3" t="inlineStr">
        <is>
          <t>1</t>
        </is>
      </c>
      <c r="AG3" t="inlineStr">
        <is>
          <t>1</t>
        </is>
      </c>
      <c r="AH3" t="n">
        <v>1</v>
      </c>
      <c r="AI3" t="n">
        <v>8</v>
      </c>
      <c r="AJ3" t="n">
        <v>512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121.7</v>
      </c>
      <c r="AP3" t="n">
        <v>122.7</v>
      </c>
      <c r="AQ3" t="n">
        <v>121.4</v>
      </c>
      <c r="AR3" t="n">
        <v>122.3</v>
      </c>
      <c r="AS3" t="n">
        <v>35</v>
      </c>
      <c r="AT3" t="n">
        <v>35.7</v>
      </c>
      <c r="AU3" t="n">
        <v>3.3</v>
      </c>
      <c r="AV3" t="n">
        <v>2.3</v>
      </c>
      <c r="AW3" t="n">
        <v>3.6</v>
      </c>
      <c r="AX3" t="n">
        <v>2.7</v>
      </c>
      <c r="AY3" t="n">
        <v>3.5</v>
      </c>
      <c r="AZ3" t="n">
        <v>2.8</v>
      </c>
      <c r="BA3" t="n">
        <v>45</v>
      </c>
      <c r="BB3" t="n">
        <v>42.8</v>
      </c>
      <c r="BC3" t="n">
        <v>-0.3</v>
      </c>
      <c r="BD3" t="n">
        <v>48.4</v>
      </c>
      <c r="BE3" t="inlineStr">
        <is>
          <t>2023106720</t>
        </is>
      </c>
      <c r="BF3" t="inlineStr">
        <is>
          <t>202508031005</t>
        </is>
      </c>
    </row>
    <row r="4">
      <c r="A4" s="11" t="inlineStr">
        <is>
          <t>2</t>
        </is>
      </c>
      <c r="B4" s="11" t="inlineStr">
        <is>
          <t>3</t>
        </is>
      </c>
      <c r="C4" t="inlineStr">
        <is>
          <t>〇</t>
        </is>
      </c>
      <c r="D4" t="inlineStr"/>
      <c r="E4" t="inlineStr">
        <is>
          <t>2025/09/27</t>
        </is>
      </c>
      <c r="F4" t="inlineStr">
        <is>
          <t>中山</t>
        </is>
      </c>
      <c r="G4" t="inlineStr">
        <is>
          <t>4</t>
        </is>
      </c>
      <c r="H4" t="inlineStr">
        <is>
          <t>8</t>
        </is>
      </c>
      <c r="I4" t="inlineStr">
        <is>
          <t>ダート</t>
        </is>
      </c>
      <c r="J4" t="inlineStr">
        <is>
          <t>1800</t>
        </is>
      </c>
      <c r="K4" t="inlineStr">
        <is>
          <t>4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8</v>
      </c>
      <c r="P4" t="n">
        <v>15</v>
      </c>
      <c r="Q4" t="inlineStr">
        <is>
          <t>メイショウナナユキ</t>
        </is>
      </c>
      <c r="R4" t="n">
        <v>53</v>
      </c>
      <c r="S4" t="inlineStr">
        <is>
          <t>今村聖奈</t>
        </is>
      </c>
      <c r="T4" t="inlineStr">
        <is>
          <t>牧浦充徳</t>
        </is>
      </c>
      <c r="U4" t="inlineStr">
        <is>
          <t>1:59.5</t>
        </is>
      </c>
      <c r="V4" t="n">
        <v>119.5</v>
      </c>
      <c r="W4" t="inlineStr">
        <is>
          <t>3.9</t>
        </is>
      </c>
      <c r="X4" t="n">
        <v>10</v>
      </c>
      <c r="Y4" t="n">
        <v>34.4</v>
      </c>
      <c r="Z4" t="n">
        <v>40.7</v>
      </c>
      <c r="AA4" t="n">
        <v>40.7</v>
      </c>
      <c r="AB4" t="n">
        <v>38.2</v>
      </c>
      <c r="AC4" t="n">
        <v>38</v>
      </c>
      <c r="AD4" t="inlineStr">
        <is>
          <t>2-3-10-12</t>
        </is>
      </c>
      <c r="AE4" t="inlineStr">
        <is>
          <t>2</t>
        </is>
      </c>
      <c r="AF4" t="inlineStr">
        <is>
          <t>3</t>
        </is>
      </c>
      <c r="AG4" t="inlineStr">
        <is>
          <t>10</t>
        </is>
      </c>
      <c r="AH4" t="n">
        <v>12</v>
      </c>
      <c r="AI4" t="n">
        <v>14</v>
      </c>
      <c r="AJ4" t="n">
        <v>468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115.3</v>
      </c>
      <c r="AP4" t="n">
        <v>115.6</v>
      </c>
      <c r="AQ4" t="n">
        <v>114.7</v>
      </c>
      <c r="AR4" t="n">
        <v>114.7</v>
      </c>
      <c r="AS4" t="n">
        <v>39</v>
      </c>
      <c r="AT4" t="n">
        <v>39</v>
      </c>
      <c r="AU4" t="n">
        <v>4.2</v>
      </c>
      <c r="AV4" t="n">
        <v>3.9</v>
      </c>
      <c r="AW4" t="n">
        <v>4.8</v>
      </c>
      <c r="AX4" t="n">
        <v>4.8</v>
      </c>
      <c r="AY4" t="n">
        <v>1.7</v>
      </c>
      <c r="AZ4" t="n">
        <v>1.7</v>
      </c>
      <c r="BA4" t="n">
        <v>40.7</v>
      </c>
      <c r="BB4" t="n">
        <v>47.2</v>
      </c>
      <c r="BC4" t="n">
        <v>-0.6</v>
      </c>
      <c r="BD4" t="n">
        <v>46.9</v>
      </c>
      <c r="BE4" t="inlineStr">
        <is>
          <t>2023101939</t>
        </is>
      </c>
      <c r="BF4" t="inlineStr">
        <is>
          <t>202506040804</t>
        </is>
      </c>
    </row>
    <row r="5">
      <c r="A5" s="11" t="inlineStr">
        <is>
          <t>2</t>
        </is>
      </c>
      <c r="B5" s="11" t="inlineStr">
        <is>
          <t>4</t>
        </is>
      </c>
      <c r="C5" t="inlineStr">
        <is>
          <t>〇</t>
        </is>
      </c>
      <c r="D5" t="inlineStr"/>
      <c r="E5" t="inlineStr">
        <is>
          <t>2025/10/13</t>
        </is>
      </c>
      <c r="F5" t="inlineStr">
        <is>
          <t>京都</t>
        </is>
      </c>
      <c r="G5" t="inlineStr">
        <is>
          <t>3</t>
        </is>
      </c>
      <c r="H5" t="inlineStr">
        <is>
          <t>5</t>
        </is>
      </c>
      <c r="I5" t="inlineStr">
        <is>
          <t>芝</t>
        </is>
      </c>
      <c r="J5" t="inlineStr">
        <is>
          <t>1600</t>
        </is>
      </c>
      <c r="K5" t="inlineStr">
        <is>
          <t>6</t>
        </is>
      </c>
      <c r="L5" t="inlineStr">
        <is>
          <t>良</t>
        </is>
      </c>
      <c r="M5" t="inlineStr">
        <is>
          <t>晴</t>
        </is>
      </c>
      <c r="N5" t="inlineStr">
        <is>
          <t>15</t>
        </is>
      </c>
      <c r="O5" t="n">
        <v>2</v>
      </c>
      <c r="P5" t="n">
        <v>2</v>
      </c>
      <c r="Q5" t="inlineStr">
        <is>
          <t>ゴッドシュアウイン</t>
        </is>
      </c>
      <c r="R5" t="n">
        <v>56</v>
      </c>
      <c r="S5" t="inlineStr">
        <is>
          <t>角田大和</t>
        </is>
      </c>
      <c r="T5" t="inlineStr">
        <is>
          <t>飯田祐史</t>
        </is>
      </c>
      <c r="U5" t="inlineStr">
        <is>
          <t>1:37.3</t>
        </is>
      </c>
      <c r="V5" t="n">
        <v>97.3</v>
      </c>
      <c r="W5" t="inlineStr">
        <is>
          <t>3.7</t>
        </is>
      </c>
      <c r="X5" t="n">
        <v>13</v>
      </c>
      <c r="Y5" t="n">
        <v>134.9</v>
      </c>
      <c r="Z5" t="n">
        <v>38.6</v>
      </c>
      <c r="AA5" t="n">
        <v>38.6</v>
      </c>
      <c r="AB5" t="n">
        <v>34</v>
      </c>
      <c r="AC5" t="n">
        <v>35.4</v>
      </c>
      <c r="AD5" t="inlineStr">
        <is>
          <t>5-4</t>
        </is>
      </c>
      <c r="AE5" t="inlineStr">
        <is>
          <t>5</t>
        </is>
      </c>
      <c r="AF5" t="inlineStr">
        <is>
          <t>4</t>
        </is>
      </c>
      <c r="AG5" t="inlineStr"/>
      <c r="AH5" t="inlineStr"/>
      <c r="AI5" t="n">
        <v>11</v>
      </c>
      <c r="AJ5" t="n">
        <v>496</v>
      </c>
      <c r="AK5" t="n">
        <v>0</v>
      </c>
      <c r="AL5" t="inlineStr">
        <is>
          <t>2歳新馬</t>
        </is>
      </c>
      <c r="AM5" t="inlineStr">
        <is>
          <t>牡</t>
        </is>
      </c>
      <c r="AN5" t="n">
        <v>2</v>
      </c>
      <c r="AO5" t="n">
        <v>95.09999999999999</v>
      </c>
      <c r="AP5" t="n">
        <v>94.7</v>
      </c>
      <c r="AQ5" t="n">
        <v>93.40000000000001</v>
      </c>
      <c r="AR5" t="n">
        <v>93.40000000000001</v>
      </c>
      <c r="AS5" t="n">
        <v>34.9</v>
      </c>
      <c r="AT5" t="n">
        <v>34.8</v>
      </c>
      <c r="AU5" t="n">
        <v>2.2</v>
      </c>
      <c r="AV5" t="n">
        <v>2.6</v>
      </c>
      <c r="AW5" t="n">
        <v>3.9</v>
      </c>
      <c r="AX5" t="n">
        <v>3.9</v>
      </c>
      <c r="AY5" t="n">
        <v>3.7</v>
      </c>
      <c r="AZ5" t="n">
        <v>3.8</v>
      </c>
      <c r="BA5" t="n">
        <v>41.6</v>
      </c>
      <c r="BB5" t="n">
        <v>33.1</v>
      </c>
      <c r="BC5" t="n">
        <v>-1.6</v>
      </c>
      <c r="BD5" t="n">
        <v>44</v>
      </c>
      <c r="BE5" t="inlineStr">
        <is>
          <t>2023105026</t>
        </is>
      </c>
      <c r="BF5" t="inlineStr">
        <is>
          <t>202508030506</t>
        </is>
      </c>
    </row>
    <row r="6">
      <c r="A6" s="12" t="inlineStr">
        <is>
          <t>3</t>
        </is>
      </c>
      <c r="B6" s="12" t="inlineStr">
        <is>
          <t>5</t>
        </is>
      </c>
      <c r="C6" t="inlineStr">
        <is>
          <t>〇</t>
        </is>
      </c>
      <c r="D6" t="inlineStr"/>
      <c r="E6" t="inlineStr">
        <is>
          <t>2025/10/18</t>
        </is>
      </c>
      <c r="F6" t="inlineStr">
        <is>
          <t>京都</t>
        </is>
      </c>
      <c r="G6" t="inlineStr">
        <is>
          <t>3</t>
        </is>
      </c>
      <c r="H6" t="inlineStr">
        <is>
          <t>6</t>
        </is>
      </c>
      <c r="I6" t="inlineStr">
        <is>
          <t>ダート</t>
        </is>
      </c>
      <c r="J6" t="inlineStr">
        <is>
          <t>1800</t>
        </is>
      </c>
      <c r="K6" t="inlineStr">
        <is>
          <t>2</t>
        </is>
      </c>
      <c r="L6" t="inlineStr">
        <is>
          <t>稍</t>
        </is>
      </c>
      <c r="M6" t="inlineStr">
        <is>
          <t>曇</t>
        </is>
      </c>
      <c r="N6" t="inlineStr">
        <is>
          <t>10</t>
        </is>
      </c>
      <c r="O6" t="n">
        <v>1</v>
      </c>
      <c r="P6" t="n">
        <v>1</v>
      </c>
      <c r="Q6" t="inlineStr">
        <is>
          <t>ゴールデンバランス</t>
        </is>
      </c>
      <c r="R6" t="n">
        <v>56</v>
      </c>
      <c r="S6" t="inlineStr">
        <is>
          <t>松若風馬</t>
        </is>
      </c>
      <c r="T6" t="inlineStr">
        <is>
          <t>杉山晴紀</t>
        </is>
      </c>
      <c r="U6" t="inlineStr">
        <is>
          <t>1:55.5</t>
        </is>
      </c>
      <c r="V6" t="n">
        <v>115.5</v>
      </c>
      <c r="W6" t="inlineStr">
        <is>
          <t>3.2</t>
        </is>
      </c>
      <c r="X6" t="n">
        <v>7</v>
      </c>
      <c r="Y6" t="n">
        <v>23.7</v>
      </c>
      <c r="Z6" t="n">
        <v>41.5</v>
      </c>
      <c r="AA6" t="n">
        <v>41.5</v>
      </c>
      <c r="AB6" t="n">
        <v>35.7</v>
      </c>
      <c r="AC6" t="n">
        <v>38.3</v>
      </c>
      <c r="AD6" t="inlineStr">
        <is>
          <t>1-1-1-1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n">
        <v>1</v>
      </c>
      <c r="AI6" t="n">
        <v>10</v>
      </c>
      <c r="AJ6" t="n">
        <v>510</v>
      </c>
      <c r="AK6" t="n">
        <v>-10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113.5</v>
      </c>
      <c r="AP6" t="n">
        <v>114</v>
      </c>
      <c r="AQ6" t="n">
        <v>112</v>
      </c>
      <c r="AR6" t="n">
        <v>112.2</v>
      </c>
      <c r="AS6" t="n">
        <v>37.7</v>
      </c>
      <c r="AT6" t="n">
        <v>38.1</v>
      </c>
      <c r="AU6" t="n">
        <v>2</v>
      </c>
      <c r="AV6" t="n">
        <v>1.5</v>
      </c>
      <c r="AW6" t="n">
        <v>3.5</v>
      </c>
      <c r="AX6" t="n">
        <v>3.2</v>
      </c>
      <c r="AY6" t="n">
        <v>3.8</v>
      </c>
      <c r="AZ6" t="n">
        <v>3.4</v>
      </c>
      <c r="BA6" t="n">
        <v>50.8</v>
      </c>
      <c r="BB6" t="n">
        <v>40.3</v>
      </c>
      <c r="BC6" t="n">
        <v>-1.5</v>
      </c>
      <c r="BD6" t="n">
        <v>43</v>
      </c>
      <c r="BE6" t="inlineStr">
        <is>
          <t>2023105367</t>
        </is>
      </c>
      <c r="BF6" t="inlineStr">
        <is>
          <t>202508030602</t>
        </is>
      </c>
    </row>
    <row r="7">
      <c r="A7" s="12" t="inlineStr">
        <is>
          <t>3</t>
        </is>
      </c>
      <c r="B7" s="12" t="inlineStr">
        <is>
          <t>5</t>
        </is>
      </c>
      <c r="C7" t="inlineStr">
        <is>
          <t>〇</t>
        </is>
      </c>
      <c r="D7" t="inlineStr"/>
      <c r="E7" t="inlineStr">
        <is>
          <t>2025/10/12</t>
        </is>
      </c>
      <c r="F7" t="inlineStr">
        <is>
          <t>京都</t>
        </is>
      </c>
      <c r="G7" t="inlineStr">
        <is>
          <t>3</t>
        </is>
      </c>
      <c r="H7" t="inlineStr">
        <is>
          <t>4</t>
        </is>
      </c>
      <c r="I7" t="inlineStr">
        <is>
          <t>ダート</t>
        </is>
      </c>
      <c r="J7" t="inlineStr">
        <is>
          <t>1800</t>
        </is>
      </c>
      <c r="K7" t="inlineStr">
        <is>
          <t>6</t>
        </is>
      </c>
      <c r="L7" t="inlineStr">
        <is>
          <t>良</t>
        </is>
      </c>
      <c r="M7" t="inlineStr">
        <is>
          <t>曇</t>
        </is>
      </c>
      <c r="N7" t="inlineStr">
        <is>
          <t>16</t>
        </is>
      </c>
      <c r="O7" t="n">
        <v>6</v>
      </c>
      <c r="P7" t="n">
        <v>11</v>
      </c>
      <c r="Q7" t="inlineStr">
        <is>
          <t>ゴールデンバランス</t>
        </is>
      </c>
      <c r="R7" t="n">
        <v>56</v>
      </c>
      <c r="S7" t="inlineStr">
        <is>
          <t>坂井瑠星</t>
        </is>
      </c>
      <c r="T7" t="inlineStr">
        <is>
          <t>杉山晴紀</t>
        </is>
      </c>
      <c r="U7" t="inlineStr">
        <is>
          <t>2:00.4</t>
        </is>
      </c>
      <c r="V7" t="n">
        <v>120.4</v>
      </c>
      <c r="W7" t="inlineStr">
        <is>
          <t>5.9</t>
        </is>
      </c>
      <c r="X7" t="n">
        <v>3</v>
      </c>
      <c r="Y7" t="n">
        <v>5</v>
      </c>
      <c r="Z7" t="n">
        <v>43</v>
      </c>
      <c r="AA7" t="n">
        <v>43</v>
      </c>
      <c r="AB7" t="n">
        <v>37.5</v>
      </c>
      <c r="AC7" t="n">
        <v>38.3</v>
      </c>
      <c r="AD7" t="inlineStr">
        <is>
          <t>8-9-8-14</t>
        </is>
      </c>
      <c r="AE7" t="inlineStr">
        <is>
          <t>8</t>
        </is>
      </c>
      <c r="AF7" t="inlineStr">
        <is>
          <t>9</t>
        </is>
      </c>
      <c r="AG7" t="inlineStr">
        <is>
          <t>8</t>
        </is>
      </c>
      <c r="AH7" t="n">
        <v>14</v>
      </c>
      <c r="AI7" t="n">
        <v>16</v>
      </c>
      <c r="AJ7" t="n">
        <v>520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113.5</v>
      </c>
      <c r="AP7" t="n">
        <v>113.8</v>
      </c>
      <c r="AQ7" t="n">
        <v>112.8</v>
      </c>
      <c r="AR7" t="n">
        <v>112.8</v>
      </c>
      <c r="AS7" t="n">
        <v>37.9</v>
      </c>
      <c r="AT7" t="n">
        <v>37.8</v>
      </c>
      <c r="AU7" t="n">
        <v>6.9</v>
      </c>
      <c r="AV7" t="n">
        <v>6.6</v>
      </c>
      <c r="AW7" t="n">
        <v>7.6</v>
      </c>
      <c r="AX7" t="n">
        <v>7.6</v>
      </c>
      <c r="AY7" t="n">
        <v>5.1</v>
      </c>
      <c r="AZ7" t="n">
        <v>5.2</v>
      </c>
      <c r="BA7" t="n">
        <v>31.5</v>
      </c>
      <c r="BB7" t="n">
        <v>31.8</v>
      </c>
      <c r="BC7" t="n">
        <v>-0.7</v>
      </c>
      <c r="BD7" t="n">
        <v>43.6</v>
      </c>
      <c r="BE7" t="inlineStr">
        <is>
          <t>2023105367</t>
        </is>
      </c>
      <c r="BF7" t="inlineStr">
        <is>
          <t>202508030406</t>
        </is>
      </c>
    </row>
    <row r="8">
      <c r="A8" s="12" t="inlineStr">
        <is>
          <t>3</t>
        </is>
      </c>
      <c r="B8" s="12" t="inlineStr">
        <is>
          <t>6</t>
        </is>
      </c>
      <c r="C8" t="inlineStr">
        <is>
          <t>〇</t>
        </is>
      </c>
      <c r="D8" t="inlineStr"/>
      <c r="E8" t="inlineStr">
        <is>
          <t>2025/12/06</t>
        </is>
      </c>
      <c r="F8" t="inlineStr">
        <is>
          <t>中京</t>
        </is>
      </c>
      <c r="G8" t="inlineStr">
        <is>
          <t>5</t>
        </is>
      </c>
      <c r="H8" t="inlineStr">
        <is>
          <t>1</t>
        </is>
      </c>
      <c r="I8" t="inlineStr">
        <is>
          <t>ダート</t>
        </is>
      </c>
      <c r="J8" t="inlineStr">
        <is>
          <t>1400</t>
        </is>
      </c>
      <c r="K8" t="inlineStr">
        <is>
          <t>1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6</v>
      </c>
      <c r="P8" t="n">
        <v>11</v>
      </c>
      <c r="Q8" t="inlineStr">
        <is>
          <t>ジュディーイメル</t>
        </is>
      </c>
      <c r="R8" t="n">
        <v>55</v>
      </c>
      <c r="S8" t="inlineStr">
        <is>
          <t>藤岡佑介</t>
        </is>
      </c>
      <c r="T8" t="inlineStr"/>
      <c r="U8" t="inlineStr">
        <is>
          <t>1:27.5</t>
        </is>
      </c>
      <c r="V8" t="n">
        <v>87.5</v>
      </c>
      <c r="W8" t="inlineStr">
        <is>
          <t>0.7</t>
        </is>
      </c>
      <c r="X8" t="n">
        <v>4</v>
      </c>
      <c r="Y8" t="n">
        <v>7.2</v>
      </c>
      <c r="Z8" t="n">
        <v>38.6</v>
      </c>
      <c r="AA8" t="n">
        <v>38.6</v>
      </c>
      <c r="AB8" t="n">
        <v>35</v>
      </c>
      <c r="AC8" t="n">
        <v>38.7</v>
      </c>
      <c r="AD8" t="inlineStr">
        <is>
          <t>9-9</t>
        </is>
      </c>
      <c r="AE8" t="inlineStr">
        <is>
          <t>9</t>
        </is>
      </c>
      <c r="AF8" t="inlineStr">
        <is>
          <t>9</t>
        </is>
      </c>
      <c r="AG8" t="inlineStr"/>
      <c r="AH8" t="inlineStr"/>
      <c r="AI8" t="n">
        <v>2</v>
      </c>
      <c r="AJ8" t="n">
        <v>434</v>
      </c>
      <c r="AK8" t="n">
        <v>4</v>
      </c>
      <c r="AL8" t="inlineStr">
        <is>
          <t>2歳未勝利</t>
        </is>
      </c>
      <c r="AM8" t="inlineStr">
        <is>
          <t>牝</t>
        </is>
      </c>
      <c r="AN8" t="n">
        <v>2</v>
      </c>
      <c r="AO8" t="n">
        <v>85.09999999999999</v>
      </c>
      <c r="AP8" t="n">
        <v>85.3</v>
      </c>
      <c r="AQ8" t="inlineStr"/>
      <c r="AR8" t="inlineStr"/>
      <c r="AS8" t="n">
        <v>37.4</v>
      </c>
      <c r="AT8" t="n">
        <v>37.3</v>
      </c>
      <c r="AU8" t="n">
        <v>2.4</v>
      </c>
      <c r="AV8" t="n">
        <v>2.2</v>
      </c>
      <c r="AW8" t="inlineStr"/>
      <c r="AX8" t="inlineStr"/>
      <c r="AY8" t="n">
        <v>1.2</v>
      </c>
      <c r="AZ8" t="n">
        <v>1.3</v>
      </c>
      <c r="BA8" t="n">
        <v>44</v>
      </c>
      <c r="BB8" t="n">
        <v>49.7</v>
      </c>
      <c r="BC8" t="inlineStr"/>
      <c r="BD8" t="n">
        <v>45.3</v>
      </c>
      <c r="BE8" t="inlineStr">
        <is>
          <t>2023105116</t>
        </is>
      </c>
      <c r="BF8" t="inlineStr">
        <is>
          <t>202507050101</t>
        </is>
      </c>
    </row>
    <row r="9">
      <c r="A9" s="12" t="inlineStr">
        <is>
          <t>3</t>
        </is>
      </c>
      <c r="B9" s="12" t="inlineStr">
        <is>
          <t>6</t>
        </is>
      </c>
      <c r="C9" t="inlineStr">
        <is>
          <t>〇</t>
        </is>
      </c>
      <c r="D9" t="inlineStr"/>
      <c r="E9" t="inlineStr">
        <is>
          <t>2025/11/16</t>
        </is>
      </c>
      <c r="F9" t="inlineStr">
        <is>
          <t>京都</t>
        </is>
      </c>
      <c r="G9" t="inlineStr">
        <is>
          <t>4</t>
        </is>
      </c>
      <c r="H9" t="inlineStr">
        <is>
          <t>4</t>
        </is>
      </c>
      <c r="I9" t="inlineStr">
        <is>
          <t>ダート</t>
        </is>
      </c>
      <c r="J9" t="inlineStr">
        <is>
          <t>1200</t>
        </is>
      </c>
      <c r="K9" t="inlineStr">
        <is>
          <t>2</t>
        </is>
      </c>
      <c r="L9" t="inlineStr">
        <is>
          <t>良</t>
        </is>
      </c>
      <c r="M9" t="inlineStr">
        <is>
          <t>晴</t>
        </is>
      </c>
      <c r="N9" t="inlineStr">
        <is>
          <t>15</t>
        </is>
      </c>
      <c r="O9" t="n">
        <v>6</v>
      </c>
      <c r="P9" t="n">
        <v>10</v>
      </c>
      <c r="Q9" t="inlineStr">
        <is>
          <t>ジュディーイメル</t>
        </is>
      </c>
      <c r="R9" t="n">
        <v>55</v>
      </c>
      <c r="S9" t="inlineStr">
        <is>
          <t>松山弘平</t>
        </is>
      </c>
      <c r="T9" t="inlineStr">
        <is>
          <t>武英智</t>
        </is>
      </c>
      <c r="U9" t="inlineStr">
        <is>
          <t>1:13.7</t>
        </is>
      </c>
      <c r="V9" t="n">
        <v>73.7</v>
      </c>
      <c r="W9" t="inlineStr">
        <is>
          <t>1.0</t>
        </is>
      </c>
      <c r="X9" t="n">
        <v>3</v>
      </c>
      <c r="Y9" t="n">
        <v>5.5</v>
      </c>
      <c r="Z9" t="n">
        <v>38.1</v>
      </c>
      <c r="AA9" t="n">
        <v>38.1</v>
      </c>
      <c r="AB9" t="n">
        <v>35.2</v>
      </c>
      <c r="AC9" t="n">
        <v>37.5</v>
      </c>
      <c r="AD9" t="inlineStr">
        <is>
          <t>3-4</t>
        </is>
      </c>
      <c r="AE9" t="inlineStr">
        <is>
          <t>3</t>
        </is>
      </c>
      <c r="AF9" t="inlineStr">
        <is>
          <t>4</t>
        </is>
      </c>
      <c r="AG9" t="inlineStr"/>
      <c r="AH9" t="inlineStr"/>
      <c r="AI9" t="n">
        <v>4</v>
      </c>
      <c r="AJ9" t="n">
        <v>430</v>
      </c>
      <c r="AK9" t="n">
        <v>-2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72.40000000000001</v>
      </c>
      <c r="AP9" t="n">
        <v>72.5</v>
      </c>
      <c r="AQ9" t="n">
        <v>72.09999999999999</v>
      </c>
      <c r="AR9" t="n">
        <v>72.09999999999999</v>
      </c>
      <c r="AS9" t="n">
        <v>36.6</v>
      </c>
      <c r="AT9" t="n">
        <v>36.7</v>
      </c>
      <c r="AU9" t="n">
        <v>1.3</v>
      </c>
      <c r="AV9" t="n">
        <v>1.2</v>
      </c>
      <c r="AW9" t="n">
        <v>1.6</v>
      </c>
      <c r="AX9" t="n">
        <v>1.6</v>
      </c>
      <c r="AY9" t="n">
        <v>1.5</v>
      </c>
      <c r="AZ9" t="n">
        <v>1.4</v>
      </c>
      <c r="BA9" t="n">
        <v>49.6</v>
      </c>
      <c r="BB9" t="n">
        <v>45</v>
      </c>
      <c r="BC9" t="n">
        <v>-0.3</v>
      </c>
      <c r="BD9" t="n">
        <v>46.2</v>
      </c>
      <c r="BE9" t="inlineStr">
        <is>
          <t>2023105116</t>
        </is>
      </c>
      <c r="BF9" t="inlineStr">
        <is>
          <t>202508040402</t>
        </is>
      </c>
    </row>
    <row r="10">
      <c r="A10" s="12" t="inlineStr">
        <is>
          <t>3</t>
        </is>
      </c>
      <c r="B10" s="12" t="inlineStr">
        <is>
          <t>6</t>
        </is>
      </c>
      <c r="C10" t="inlineStr">
        <is>
          <t>〇</t>
        </is>
      </c>
      <c r="D10" t="n">
        <v>1</v>
      </c>
      <c r="E10" t="inlineStr">
        <is>
          <t>2025/11/09</t>
        </is>
      </c>
      <c r="F10" t="inlineStr">
        <is>
          <t>京都</t>
        </is>
      </c>
      <c r="G10" t="inlineStr">
        <is>
          <t>4</t>
        </is>
      </c>
      <c r="H10" t="inlineStr">
        <is>
          <t>2</t>
        </is>
      </c>
      <c r="I10" t="inlineStr">
        <is>
          <t>ダート</t>
        </is>
      </c>
      <c r="J10" t="inlineStr">
        <is>
          <t>1400</t>
        </is>
      </c>
      <c r="K10" t="inlineStr">
        <is>
          <t>1</t>
        </is>
      </c>
      <c r="L10" t="inlineStr">
        <is>
          <t>稍</t>
        </is>
      </c>
      <c r="M10" t="inlineStr">
        <is>
          <t>雨</t>
        </is>
      </c>
      <c r="N10" t="inlineStr">
        <is>
          <t>16</t>
        </is>
      </c>
      <c r="O10" t="n">
        <v>1</v>
      </c>
      <c r="P10" t="n">
        <v>2</v>
      </c>
      <c r="Q10" t="inlineStr">
        <is>
          <t>ジュディーイメル</t>
        </is>
      </c>
      <c r="R10" t="n">
        <v>55</v>
      </c>
      <c r="S10" t="inlineStr">
        <is>
          <t>松山弘平</t>
        </is>
      </c>
      <c r="T10" t="inlineStr">
        <is>
          <t>武英智</t>
        </is>
      </c>
      <c r="U10" t="inlineStr">
        <is>
          <t>1:26.8</t>
        </is>
      </c>
      <c r="V10" t="n">
        <v>86.8</v>
      </c>
      <c r="W10" t="inlineStr">
        <is>
          <t>0.8</t>
        </is>
      </c>
      <c r="X10" t="n">
        <v>5</v>
      </c>
      <c r="Y10" t="n">
        <v>10.7</v>
      </c>
      <c r="Z10" t="n">
        <v>38.8</v>
      </c>
      <c r="AA10" t="n">
        <v>38.8</v>
      </c>
      <c r="AB10" t="n">
        <v>35.4</v>
      </c>
      <c r="AC10" t="n">
        <v>38</v>
      </c>
      <c r="AD10" t="inlineStr">
        <is>
          <t>1-1</t>
        </is>
      </c>
      <c r="AE10" t="inlineStr">
        <is>
          <t>1</t>
        </is>
      </c>
      <c r="AF10" t="inlineStr">
        <is>
          <t>1</t>
        </is>
      </c>
      <c r="AG10" t="inlineStr"/>
      <c r="AH10" t="inlineStr"/>
      <c r="AI10" t="n">
        <v>6</v>
      </c>
      <c r="AJ10" t="n">
        <v>432</v>
      </c>
      <c r="AK10" t="n">
        <v>2</v>
      </c>
      <c r="AL10" t="inlineStr">
        <is>
          <t>2歳未勝利</t>
        </is>
      </c>
      <c r="AM10" t="inlineStr">
        <is>
          <t>牝</t>
        </is>
      </c>
      <c r="AN10" t="n">
        <v>2</v>
      </c>
      <c r="AO10" t="n">
        <v>85.3</v>
      </c>
      <c r="AP10" t="n">
        <v>85.40000000000001</v>
      </c>
      <c r="AQ10" t="n">
        <v>84.7</v>
      </c>
      <c r="AR10" t="n">
        <v>85.7</v>
      </c>
      <c r="AS10" t="n">
        <v>37.3</v>
      </c>
      <c r="AT10" t="n">
        <v>37.4</v>
      </c>
      <c r="AU10" t="n">
        <v>1.5</v>
      </c>
      <c r="AV10" t="n">
        <v>1.4</v>
      </c>
      <c r="AW10" t="n">
        <v>2.1</v>
      </c>
      <c r="AX10" t="n">
        <v>1.1</v>
      </c>
      <c r="AY10" t="n">
        <v>1.5</v>
      </c>
      <c r="AZ10" t="n">
        <v>1.4</v>
      </c>
      <c r="BA10" t="n">
        <v>49.4</v>
      </c>
      <c r="BB10" t="n">
        <v>47.3</v>
      </c>
      <c r="BC10" t="n">
        <v>-0.5</v>
      </c>
      <c r="BD10" t="n">
        <v>45.6</v>
      </c>
      <c r="BE10" t="inlineStr">
        <is>
          <t>2023105116</t>
        </is>
      </c>
      <c r="BF10" t="inlineStr">
        <is>
          <t>202508040201</t>
        </is>
      </c>
    </row>
    <row r="11">
      <c r="A11" s="12" t="inlineStr">
        <is>
          <t>3</t>
        </is>
      </c>
      <c r="B11" s="12" t="inlineStr">
        <is>
          <t>6</t>
        </is>
      </c>
      <c r="C11" t="inlineStr">
        <is>
          <t>〇</t>
        </is>
      </c>
      <c r="D11" t="inlineStr"/>
      <c r="E11" t="inlineStr">
        <is>
          <t>2025/09/21</t>
        </is>
      </c>
      <c r="F11" t="inlineStr">
        <is>
          <t>阪神</t>
        </is>
      </c>
      <c r="G11" t="inlineStr">
        <is>
          <t>4</t>
        </is>
      </c>
      <c r="H11" t="inlineStr">
        <is>
          <t>7</t>
        </is>
      </c>
      <c r="I11" t="inlineStr">
        <is>
          <t>ダート</t>
        </is>
      </c>
      <c r="J11" t="inlineStr">
        <is>
          <t>1400</t>
        </is>
      </c>
      <c r="K11" t="inlineStr">
        <is>
          <t>4</t>
        </is>
      </c>
      <c r="L11" t="inlineStr">
        <is>
          <t>良</t>
        </is>
      </c>
      <c r="M11" t="inlineStr">
        <is>
          <t>晴</t>
        </is>
      </c>
      <c r="N11" t="inlineStr">
        <is>
          <t>13</t>
        </is>
      </c>
      <c r="O11" t="n">
        <v>5</v>
      </c>
      <c r="P11" t="n">
        <v>7</v>
      </c>
      <c r="Q11" t="inlineStr">
        <is>
          <t>ジュディーイメル</t>
        </is>
      </c>
      <c r="R11" t="n">
        <v>55</v>
      </c>
      <c r="S11" t="inlineStr">
        <is>
          <t>松山弘平</t>
        </is>
      </c>
      <c r="T11" t="inlineStr">
        <is>
          <t>武英智</t>
        </is>
      </c>
      <c r="U11" t="inlineStr">
        <is>
          <t>1:26.5</t>
        </is>
      </c>
      <c r="V11" t="n">
        <v>86.5</v>
      </c>
      <c r="W11" t="inlineStr">
        <is>
          <t>0.1</t>
        </is>
      </c>
      <c r="X11" t="n">
        <v>5</v>
      </c>
      <c r="Y11" t="n">
        <v>16.7</v>
      </c>
      <c r="Z11" t="n">
        <v>38.3</v>
      </c>
      <c r="AA11" t="n">
        <v>38.3</v>
      </c>
      <c r="AB11" t="n">
        <v>34.9</v>
      </c>
      <c r="AC11" t="n">
        <v>38.9</v>
      </c>
      <c r="AD11" t="inlineStr">
        <is>
          <t>8-8</t>
        </is>
      </c>
      <c r="AE11" t="inlineStr">
        <is>
          <t>8</t>
        </is>
      </c>
      <c r="AF11" t="inlineStr">
        <is>
          <t>8</t>
        </is>
      </c>
      <c r="AG11" t="inlineStr"/>
      <c r="AH11" t="inlineStr"/>
      <c r="AI11" t="n">
        <v>4</v>
      </c>
      <c r="AJ11" t="n">
        <v>430</v>
      </c>
      <c r="AK11" t="n">
        <v>-10</v>
      </c>
      <c r="AL11" t="inlineStr">
        <is>
          <t>2歳未勝利</t>
        </is>
      </c>
      <c r="AM11" t="inlineStr">
        <is>
          <t>牝</t>
        </is>
      </c>
      <c r="AN11" t="n">
        <v>2</v>
      </c>
      <c r="AO11" t="n">
        <v>85.09999999999999</v>
      </c>
      <c r="AP11" t="n">
        <v>85.40000000000001</v>
      </c>
      <c r="AQ11" t="n">
        <v>84.8</v>
      </c>
      <c r="AR11" t="n">
        <v>84.8</v>
      </c>
      <c r="AS11" t="n">
        <v>37.4</v>
      </c>
      <c r="AT11" t="n">
        <v>37.5</v>
      </c>
      <c r="AU11" t="n">
        <v>1.4</v>
      </c>
      <c r="AV11" t="n">
        <v>1.1</v>
      </c>
      <c r="AW11" t="n">
        <v>1.7</v>
      </c>
      <c r="AX11" t="n">
        <v>1.7</v>
      </c>
      <c r="AY11" t="n">
        <v>0.9</v>
      </c>
      <c r="AZ11" t="n">
        <v>0.8</v>
      </c>
      <c r="BA11" t="n">
        <v>51.4</v>
      </c>
      <c r="BB11" t="n">
        <v>51.9</v>
      </c>
      <c r="BC11" t="n">
        <v>-0.4</v>
      </c>
      <c r="BD11" t="n">
        <v>45.6</v>
      </c>
      <c r="BE11" t="inlineStr">
        <is>
          <t>2023105116</t>
        </is>
      </c>
      <c r="BF11" t="inlineStr">
        <is>
          <t>202509040704</t>
        </is>
      </c>
    </row>
    <row r="12">
      <c r="A12" s="12" t="inlineStr">
        <is>
          <t>3</t>
        </is>
      </c>
      <c r="B12" s="12" t="inlineStr">
        <is>
          <t>6</t>
        </is>
      </c>
      <c r="C12" t="inlineStr">
        <is>
          <t>〇</t>
        </is>
      </c>
      <c r="D12" t="inlineStr"/>
      <c r="E12" t="inlineStr">
        <is>
          <t>2025/08/31</t>
        </is>
      </c>
      <c r="F12" t="inlineStr">
        <is>
          <t>札幌</t>
        </is>
      </c>
      <c r="G12" t="inlineStr">
        <is>
          <t>2</t>
        </is>
      </c>
      <c r="H12" t="inlineStr">
        <is>
          <t>4</t>
        </is>
      </c>
      <c r="I12" t="inlineStr">
        <is>
          <t>芝</t>
        </is>
      </c>
      <c r="J12" t="inlineStr">
        <is>
          <t>1200</t>
        </is>
      </c>
      <c r="K12" t="inlineStr">
        <is>
          <t>1</t>
        </is>
      </c>
      <c r="L12" t="inlineStr">
        <is>
          <t>稍</t>
        </is>
      </c>
      <c r="M12" t="inlineStr">
        <is>
          <t>曇</t>
        </is>
      </c>
      <c r="N12" t="inlineStr">
        <is>
          <t>10</t>
        </is>
      </c>
      <c r="O12" t="n">
        <v>6</v>
      </c>
      <c r="P12" t="n">
        <v>6</v>
      </c>
      <c r="Q12" t="inlineStr">
        <is>
          <t>ジュディーイメル</t>
        </is>
      </c>
      <c r="R12" t="n">
        <v>55</v>
      </c>
      <c r="S12" t="inlineStr">
        <is>
          <t>浜中俊</t>
        </is>
      </c>
      <c r="T12" t="inlineStr">
        <is>
          <t>武英智</t>
        </is>
      </c>
      <c r="U12" t="inlineStr">
        <is>
          <t>1:11.4</t>
        </is>
      </c>
      <c r="V12" t="n">
        <v>71.40000000000001</v>
      </c>
      <c r="W12" t="inlineStr">
        <is>
          <t>0.5</t>
        </is>
      </c>
      <c r="X12" t="n">
        <v>8</v>
      </c>
      <c r="Y12" t="n">
        <v>59.8</v>
      </c>
      <c r="Z12" t="n">
        <v>35.7</v>
      </c>
      <c r="AA12" t="n">
        <v>35.7</v>
      </c>
      <c r="AB12" t="n">
        <v>34.7</v>
      </c>
      <c r="AC12" t="n">
        <v>36.2</v>
      </c>
      <c r="AD12" t="inlineStr">
        <is>
          <t>8-9</t>
        </is>
      </c>
      <c r="AE12" t="inlineStr">
        <is>
          <t>8</t>
        </is>
      </c>
      <c r="AF12" t="inlineStr">
        <is>
          <t>9</t>
        </is>
      </c>
      <c r="AG12" t="inlineStr"/>
      <c r="AH12" t="inlineStr"/>
      <c r="AI12" t="n">
        <v>4</v>
      </c>
      <c r="AJ12" t="n">
        <v>440</v>
      </c>
      <c r="AK12" t="n">
        <v>-6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69.8</v>
      </c>
      <c r="AP12" t="n">
        <v>70.5</v>
      </c>
      <c r="AQ12" t="n">
        <v>70.5</v>
      </c>
      <c r="AR12" t="n">
        <v>70.5</v>
      </c>
      <c r="AS12" t="n">
        <v>35.1</v>
      </c>
      <c r="AT12" t="n">
        <v>35.4</v>
      </c>
      <c r="AU12" t="n">
        <v>1.6</v>
      </c>
      <c r="AV12" t="n">
        <v>0.9</v>
      </c>
      <c r="AW12" t="n">
        <v>0.9</v>
      </c>
      <c r="AX12" t="n">
        <v>0.9</v>
      </c>
      <c r="AY12" t="n">
        <v>0.6</v>
      </c>
      <c r="AZ12" t="n">
        <v>0.3</v>
      </c>
      <c r="BA12" t="n">
        <v>44.6</v>
      </c>
      <c r="BB12" t="n">
        <v>51.4</v>
      </c>
      <c r="BC12" t="n">
        <v>0.8</v>
      </c>
      <c r="BD12" t="n">
        <v>48.6</v>
      </c>
      <c r="BE12" t="inlineStr">
        <is>
          <t>2023105116</t>
        </is>
      </c>
      <c r="BF12" t="inlineStr">
        <is>
          <t>202501020401</t>
        </is>
      </c>
    </row>
    <row r="13">
      <c r="A13" s="12" t="inlineStr">
        <is>
          <t>3</t>
        </is>
      </c>
      <c r="B13" s="12" t="inlineStr">
        <is>
          <t>6</t>
        </is>
      </c>
      <c r="C13" t="inlineStr">
        <is>
          <t>〇</t>
        </is>
      </c>
      <c r="D13" t="n">
        <v>3</v>
      </c>
      <c r="E13" t="inlineStr">
        <is>
          <t>2025/08/10</t>
        </is>
      </c>
      <c r="F13" t="inlineStr">
        <is>
          <t>札幌</t>
        </is>
      </c>
      <c r="G13" t="inlineStr">
        <is>
          <t>1</t>
        </is>
      </c>
      <c r="H13" t="inlineStr">
        <is>
          <t>6</t>
        </is>
      </c>
      <c r="I13" t="inlineStr">
        <is>
          <t>芝</t>
        </is>
      </c>
      <c r="J13" t="inlineStr">
        <is>
          <t>1500</t>
        </is>
      </c>
      <c r="K13" t="inlineStr">
        <is>
          <t>5</t>
        </is>
      </c>
      <c r="L13" t="inlineStr">
        <is>
          <t>良</t>
        </is>
      </c>
      <c r="M13" t="inlineStr">
        <is>
          <t>曇</t>
        </is>
      </c>
      <c r="N13" t="inlineStr">
        <is>
          <t>12</t>
        </is>
      </c>
      <c r="O13" t="n">
        <v>8</v>
      </c>
      <c r="P13" t="n">
        <v>12</v>
      </c>
      <c r="Q13" t="inlineStr">
        <is>
          <t>ジュディーイメル</t>
        </is>
      </c>
      <c r="R13" t="n">
        <v>55</v>
      </c>
      <c r="S13" t="inlineStr">
        <is>
          <t>藤岡佑介</t>
        </is>
      </c>
      <c r="T13" t="inlineStr">
        <is>
          <t>武英智</t>
        </is>
      </c>
      <c r="U13" t="inlineStr">
        <is>
          <t>1:32.7</t>
        </is>
      </c>
      <c r="V13" t="n">
        <v>92.7</v>
      </c>
      <c r="W13" t="inlineStr">
        <is>
          <t>1.6</t>
        </is>
      </c>
      <c r="X13" t="n">
        <v>6</v>
      </c>
      <c r="Y13" t="n">
        <v>20.1</v>
      </c>
      <c r="Z13" t="n">
        <v>36.9</v>
      </c>
      <c r="AA13" t="n">
        <v>36.9</v>
      </c>
      <c r="AB13" t="n">
        <v>30.5</v>
      </c>
      <c r="AC13" t="n">
        <v>35.6</v>
      </c>
      <c r="AD13" t="inlineStr">
        <is>
          <t>5-3-5</t>
        </is>
      </c>
      <c r="AE13" t="inlineStr">
        <is>
          <t>5</t>
        </is>
      </c>
      <c r="AF13" t="inlineStr">
        <is>
          <t>3</t>
        </is>
      </c>
      <c r="AG13" t="inlineStr">
        <is>
          <t>5</t>
        </is>
      </c>
      <c r="AH13" t="inlineStr"/>
      <c r="AI13" t="n">
        <v>11</v>
      </c>
      <c r="AJ13" t="n">
        <v>446</v>
      </c>
      <c r="AK13" t="n">
        <v>0</v>
      </c>
      <c r="AL13" t="inlineStr">
        <is>
          <t>2歳新馬</t>
        </is>
      </c>
      <c r="AM13" t="inlineStr">
        <is>
          <t>牝</t>
        </is>
      </c>
      <c r="AN13" t="n">
        <v>2</v>
      </c>
      <c r="AO13" t="n">
        <v>90.09999999999999</v>
      </c>
      <c r="AP13" t="n">
        <v>89.8</v>
      </c>
      <c r="AQ13" t="n">
        <v>89.90000000000001</v>
      </c>
      <c r="AR13" t="n">
        <v>89.8</v>
      </c>
      <c r="AS13" t="n">
        <v>35.5</v>
      </c>
      <c r="AT13" t="n">
        <v>35.2</v>
      </c>
      <c r="AU13" t="n">
        <v>2.6</v>
      </c>
      <c r="AV13" t="n">
        <v>2.9</v>
      </c>
      <c r="AW13" t="n">
        <v>2.8</v>
      </c>
      <c r="AX13" t="n">
        <v>2.9</v>
      </c>
      <c r="AY13" t="n">
        <v>1.4</v>
      </c>
      <c r="AZ13" t="n">
        <v>1.7</v>
      </c>
      <c r="BA13" t="n">
        <v>34.3</v>
      </c>
      <c r="BB13" t="n">
        <v>41</v>
      </c>
      <c r="BC13" t="n">
        <v>-0.2</v>
      </c>
      <c r="BD13" t="n">
        <v>41.3</v>
      </c>
      <c r="BE13" t="inlineStr">
        <is>
          <t>2023105116</t>
        </is>
      </c>
      <c r="BF13" t="inlineStr">
        <is>
          <t>202501010605</t>
        </is>
      </c>
    </row>
    <row r="14">
      <c r="A14" s="13" t="inlineStr">
        <is>
          <t>4</t>
        </is>
      </c>
      <c r="B14" s="13" t="inlineStr">
        <is>
          <t>7</t>
        </is>
      </c>
      <c r="C14" t="inlineStr">
        <is>
          <t>〇</t>
        </is>
      </c>
      <c r="D14" t="n">
        <v>2</v>
      </c>
      <c r="E14" t="inlineStr">
        <is>
          <t>2025/09/14</t>
        </is>
      </c>
      <c r="F14" t="inlineStr">
        <is>
          <t>阪神</t>
        </is>
      </c>
      <c r="G14" t="inlineStr">
        <is>
          <t>4</t>
        </is>
      </c>
      <c r="H14" t="inlineStr">
        <is>
          <t>4</t>
        </is>
      </c>
      <c r="I14" t="inlineStr">
        <is>
          <t>ダート</t>
        </is>
      </c>
      <c r="J14" t="inlineStr">
        <is>
          <t>1400</t>
        </is>
      </c>
      <c r="K14" t="inlineStr">
        <is>
          <t>1</t>
        </is>
      </c>
      <c r="L14" t="inlineStr">
        <is>
          <t>良</t>
        </is>
      </c>
      <c r="M14" t="inlineStr">
        <is>
          <t>曇</t>
        </is>
      </c>
      <c r="N14" t="inlineStr">
        <is>
          <t>13</t>
        </is>
      </c>
      <c r="O14" t="n">
        <v>2</v>
      </c>
      <c r="P14" t="n">
        <v>2</v>
      </c>
      <c r="Q14" t="inlineStr">
        <is>
          <t>レザーアンドレース</t>
        </is>
      </c>
      <c r="R14" t="n">
        <v>54</v>
      </c>
      <c r="S14" t="inlineStr">
        <is>
          <t>吉村誠之</t>
        </is>
      </c>
      <c r="T14" t="inlineStr">
        <is>
          <t>平田修</t>
        </is>
      </c>
      <c r="U14" t="inlineStr">
        <is>
          <t>1:28.4</t>
        </is>
      </c>
      <c r="V14" t="n">
        <v>88.40000000000001</v>
      </c>
      <c r="W14" t="inlineStr">
        <is>
          <t>4.4</t>
        </is>
      </c>
      <c r="X14" t="n">
        <v>9</v>
      </c>
      <c r="Y14" t="n">
        <v>50.6</v>
      </c>
      <c r="Z14" t="n">
        <v>38.3</v>
      </c>
      <c r="AA14" t="n">
        <v>38.3</v>
      </c>
      <c r="AB14" t="n">
        <v>34.6</v>
      </c>
      <c r="AC14" t="n">
        <v>37.3</v>
      </c>
      <c r="AD14" t="inlineStr">
        <is>
          <t>13-13</t>
        </is>
      </c>
      <c r="AE14" t="inlineStr">
        <is>
          <t>13</t>
        </is>
      </c>
      <c r="AF14" t="inlineStr">
        <is>
          <t>13</t>
        </is>
      </c>
      <c r="AG14" t="inlineStr"/>
      <c r="AH14" t="inlineStr"/>
      <c r="AI14" t="n">
        <v>11</v>
      </c>
      <c r="AJ14" t="n">
        <v>460</v>
      </c>
      <c r="AK14" t="n">
        <v>2</v>
      </c>
      <c r="AL14" t="inlineStr">
        <is>
          <t>2歳未勝利</t>
        </is>
      </c>
      <c r="AM14" t="inlineStr">
        <is>
          <t>牝</t>
        </is>
      </c>
      <c r="AN14" t="n">
        <v>2</v>
      </c>
      <c r="AO14" t="n">
        <v>85.09999999999999</v>
      </c>
      <c r="AP14" t="n">
        <v>85.40000000000001</v>
      </c>
      <c r="AQ14" t="n">
        <v>85.40000000000001</v>
      </c>
      <c r="AR14" t="n">
        <v>85.40000000000001</v>
      </c>
      <c r="AS14" t="n">
        <v>37.3</v>
      </c>
      <c r="AT14" t="n">
        <v>37.3</v>
      </c>
      <c r="AU14" t="n">
        <v>3.3</v>
      </c>
      <c r="AV14" t="n">
        <v>3</v>
      </c>
      <c r="AW14" t="n">
        <v>3</v>
      </c>
      <c r="AX14" t="n">
        <v>3</v>
      </c>
      <c r="AY14" t="n">
        <v>1</v>
      </c>
      <c r="AZ14" t="n">
        <v>1</v>
      </c>
      <c r="BA14" t="n">
        <v>40.8</v>
      </c>
      <c r="BB14" t="n">
        <v>51.9</v>
      </c>
      <c r="BC14" t="n">
        <v>0.3</v>
      </c>
      <c r="BD14" t="n">
        <v>45.2</v>
      </c>
      <c r="BE14" t="inlineStr">
        <is>
          <t>2023103378</t>
        </is>
      </c>
      <c r="BF14" t="inlineStr">
        <is>
          <t>202509040401</t>
        </is>
      </c>
    </row>
    <row r="15">
      <c r="A15" s="13" t="inlineStr">
        <is>
          <t>4</t>
        </is>
      </c>
      <c r="B15" s="13" t="inlineStr">
        <is>
          <t>7</t>
        </is>
      </c>
      <c r="C15" t="inlineStr">
        <is>
          <t>〇</t>
        </is>
      </c>
      <c r="D15" t="inlineStr"/>
      <c r="E15" t="inlineStr">
        <is>
          <t>2025/06/29</t>
        </is>
      </c>
      <c r="F15" t="inlineStr">
        <is>
          <t>小倉</t>
        </is>
      </c>
      <c r="G15" t="inlineStr">
        <is>
          <t>2</t>
        </is>
      </c>
      <c r="H15" t="inlineStr">
        <is>
          <t>2</t>
        </is>
      </c>
      <c r="I15" t="inlineStr">
        <is>
          <t>芝</t>
        </is>
      </c>
      <c r="J15" t="inlineStr">
        <is>
          <t>1200</t>
        </is>
      </c>
      <c r="K15" t="inlineStr">
        <is>
          <t>6</t>
        </is>
      </c>
      <c r="L15" t="inlineStr">
        <is>
          <t>良</t>
        </is>
      </c>
      <c r="M15" t="inlineStr">
        <is>
          <t>晴</t>
        </is>
      </c>
      <c r="N15" t="inlineStr">
        <is>
          <t>10</t>
        </is>
      </c>
      <c r="O15" t="n">
        <v>8</v>
      </c>
      <c r="P15" t="n">
        <v>10</v>
      </c>
      <c r="Q15" t="inlineStr">
        <is>
          <t>レザーアンドレース</t>
        </is>
      </c>
      <c r="R15" t="n">
        <v>53</v>
      </c>
      <c r="S15" t="inlineStr">
        <is>
          <t>永島まな</t>
        </is>
      </c>
      <c r="T15" t="inlineStr">
        <is>
          <t>平田修</t>
        </is>
      </c>
      <c r="U15" t="inlineStr">
        <is>
          <t>1:13.9</t>
        </is>
      </c>
      <c r="V15" t="n">
        <v>73.90000000000001</v>
      </c>
      <c r="W15" t="inlineStr">
        <is>
          <t>4.2</t>
        </is>
      </c>
      <c r="X15" t="n">
        <v>5</v>
      </c>
      <c r="Y15" t="n">
        <v>17.6</v>
      </c>
      <c r="Z15" t="n">
        <v>37.7</v>
      </c>
      <c r="AA15" t="n">
        <v>37.7</v>
      </c>
      <c r="AB15" t="n">
        <v>34.9</v>
      </c>
      <c r="AC15" t="n">
        <v>34.8</v>
      </c>
      <c r="AD15" t="inlineStr">
        <is>
          <t>9-10</t>
        </is>
      </c>
      <c r="AE15" t="inlineStr">
        <is>
          <t>9</t>
        </is>
      </c>
      <c r="AF15" t="inlineStr">
        <is>
          <t>10</t>
        </is>
      </c>
      <c r="AG15" t="inlineStr"/>
      <c r="AH15" t="inlineStr"/>
      <c r="AI15" t="n">
        <v>10</v>
      </c>
      <c r="AJ15" t="n">
        <v>458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69.09999999999999</v>
      </c>
      <c r="AP15" t="n">
        <v>68.90000000000001</v>
      </c>
      <c r="AQ15" t="n">
        <v>69.3</v>
      </c>
      <c r="AR15" t="n">
        <v>69.3</v>
      </c>
      <c r="AS15" t="n">
        <v>35</v>
      </c>
      <c r="AT15" t="n">
        <v>34.7</v>
      </c>
      <c r="AU15" t="n">
        <v>4.8</v>
      </c>
      <c r="AV15" t="n">
        <v>5</v>
      </c>
      <c r="AW15" t="n">
        <v>4.6</v>
      </c>
      <c r="AX15" t="n">
        <v>4.6</v>
      </c>
      <c r="AY15" t="n">
        <v>2.7</v>
      </c>
      <c r="AZ15" t="n">
        <v>3</v>
      </c>
      <c r="BA15" t="n">
        <v>18.5</v>
      </c>
      <c r="BB15" t="n">
        <v>26.9</v>
      </c>
      <c r="BC15" t="n">
        <v>0.2</v>
      </c>
      <c r="BD15" t="n">
        <v>46.3</v>
      </c>
      <c r="BE15" t="inlineStr">
        <is>
          <t>2023103378</t>
        </is>
      </c>
      <c r="BF15" t="inlineStr">
        <is>
          <t>202510020206</t>
        </is>
      </c>
    </row>
    <row r="16">
      <c r="A16" s="13" t="inlineStr">
        <is>
          <t>4</t>
        </is>
      </c>
      <c r="B16" s="13" t="inlineStr">
        <is>
          <t>8</t>
        </is>
      </c>
      <c r="C16" t="inlineStr">
        <is>
          <t>〇</t>
        </is>
      </c>
      <c r="D16" t="inlineStr"/>
      <c r="E16" t="inlineStr">
        <is>
          <t>2025/11/16</t>
        </is>
      </c>
      <c r="F16" t="inlineStr">
        <is>
          <t>京都</t>
        </is>
      </c>
      <c r="G16" t="inlineStr">
        <is>
          <t>4</t>
        </is>
      </c>
      <c r="H16" t="inlineStr">
        <is>
          <t>4</t>
        </is>
      </c>
      <c r="I16" t="inlineStr">
        <is>
          <t>芝</t>
        </is>
      </c>
      <c r="J16" t="inlineStr">
        <is>
          <t>1600</t>
        </is>
      </c>
      <c r="K16" t="inlineStr">
        <is>
          <t>3</t>
        </is>
      </c>
      <c r="L16" t="inlineStr">
        <is>
          <t>良</t>
        </is>
      </c>
      <c r="M16" t="inlineStr">
        <is>
          <t>晴</t>
        </is>
      </c>
      <c r="N16" t="inlineStr">
        <is>
          <t>15</t>
        </is>
      </c>
      <c r="O16" t="n">
        <v>8</v>
      </c>
      <c r="P16" t="n">
        <v>14</v>
      </c>
      <c r="Q16" t="inlineStr">
        <is>
          <t>ピーチアバランチェ</t>
        </is>
      </c>
      <c r="R16" t="n">
        <v>55</v>
      </c>
      <c r="S16" t="inlineStr">
        <is>
          <t>菱田裕二</t>
        </is>
      </c>
      <c r="T16" t="inlineStr">
        <is>
          <t>宮地貴稔</t>
        </is>
      </c>
      <c r="U16" t="inlineStr">
        <is>
          <t>1:36.2</t>
        </is>
      </c>
      <c r="V16" t="n">
        <v>96.2</v>
      </c>
      <c r="W16" t="inlineStr">
        <is>
          <t>2.3</t>
        </is>
      </c>
      <c r="X16" t="n">
        <v>15</v>
      </c>
      <c r="Y16" t="n">
        <v>483.1</v>
      </c>
      <c r="Z16" t="n">
        <v>37.4</v>
      </c>
      <c r="AA16" t="n">
        <v>37.4</v>
      </c>
      <c r="AB16" t="n">
        <v>34.9</v>
      </c>
      <c r="AC16" t="n">
        <v>35.5</v>
      </c>
      <c r="AD16" t="inlineStr">
        <is>
          <t>4-4</t>
        </is>
      </c>
      <c r="AE16" t="inlineStr">
        <is>
          <t>4</t>
        </is>
      </c>
      <c r="AF16" t="inlineStr">
        <is>
          <t>4</t>
        </is>
      </c>
      <c r="AG16" t="inlineStr"/>
      <c r="AH16" t="inlineStr"/>
      <c r="AI16" t="n">
        <v>13</v>
      </c>
      <c r="AJ16" t="n">
        <v>440</v>
      </c>
      <c r="AK16" t="n">
        <v>-4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95.09999999999999</v>
      </c>
      <c r="AP16" t="n">
        <v>94.7</v>
      </c>
      <c r="AQ16" t="n">
        <v>94.2</v>
      </c>
      <c r="AR16" t="n">
        <v>94.2</v>
      </c>
      <c r="AS16" t="n">
        <v>34.9</v>
      </c>
      <c r="AT16" t="n">
        <v>34.8</v>
      </c>
      <c r="AU16" t="n">
        <v>1.1</v>
      </c>
      <c r="AV16" t="n">
        <v>1.5</v>
      </c>
      <c r="AW16" t="n">
        <v>2</v>
      </c>
      <c r="AX16" t="n">
        <v>2</v>
      </c>
      <c r="AY16" t="n">
        <v>2.5</v>
      </c>
      <c r="AZ16" t="n">
        <v>2.6</v>
      </c>
      <c r="BA16" t="n">
        <v>46.7</v>
      </c>
      <c r="BB16" t="n">
        <v>39.6</v>
      </c>
      <c r="BC16" t="n">
        <v>-0.9</v>
      </c>
      <c r="BD16" t="n">
        <v>46.7</v>
      </c>
      <c r="BE16" t="inlineStr">
        <is>
          <t>2023100635</t>
        </is>
      </c>
      <c r="BF16" t="inlineStr">
        <is>
          <t>202508040403</t>
        </is>
      </c>
    </row>
    <row r="17">
      <c r="A17" s="13" t="inlineStr">
        <is>
          <t>4</t>
        </is>
      </c>
      <c r="B17" s="13" t="inlineStr">
        <is>
          <t>8</t>
        </is>
      </c>
      <c r="C17" t="inlineStr">
        <is>
          <t>〇</t>
        </is>
      </c>
      <c r="D17" t="inlineStr"/>
      <c r="E17" t="inlineStr">
        <is>
          <t>2025/09/27</t>
        </is>
      </c>
      <c r="F17" t="inlineStr">
        <is>
          <t>阪神</t>
        </is>
      </c>
      <c r="G17" t="inlineStr">
        <is>
          <t>4</t>
        </is>
      </c>
      <c r="H17" t="inlineStr">
        <is>
          <t>8</t>
        </is>
      </c>
      <c r="I17" t="inlineStr">
        <is>
          <t>芝</t>
        </is>
      </c>
      <c r="J17" t="inlineStr">
        <is>
          <t>1600</t>
        </is>
      </c>
      <c r="K17" t="inlineStr">
        <is>
          <t>4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7</v>
      </c>
      <c r="P17" t="n">
        <v>13</v>
      </c>
      <c r="Q17" t="inlineStr">
        <is>
          <t>ピーチアバランチェ</t>
        </is>
      </c>
      <c r="R17" t="n">
        <v>55</v>
      </c>
      <c r="S17" t="inlineStr">
        <is>
          <t>富田暁</t>
        </is>
      </c>
      <c r="T17" t="inlineStr">
        <is>
          <t>宮地貴稔</t>
        </is>
      </c>
      <c r="U17" t="inlineStr">
        <is>
          <t>1:37.3</t>
        </is>
      </c>
      <c r="V17" t="n">
        <v>97.3</v>
      </c>
      <c r="W17" t="inlineStr">
        <is>
          <t>2.7</t>
        </is>
      </c>
      <c r="X17" t="n">
        <v>15</v>
      </c>
      <c r="Y17" t="n">
        <v>175.2</v>
      </c>
      <c r="Z17" t="n">
        <v>36.6</v>
      </c>
      <c r="AA17" t="n">
        <v>36.6</v>
      </c>
      <c r="AB17" t="n">
        <v>35.3</v>
      </c>
      <c r="AC17" t="n">
        <v>35.1</v>
      </c>
      <c r="AD17" t="inlineStr">
        <is>
          <t>14-11</t>
        </is>
      </c>
      <c r="AE17" t="inlineStr">
        <is>
          <t>14</t>
        </is>
      </c>
      <c r="AF17" t="inlineStr">
        <is>
          <t>11</t>
        </is>
      </c>
      <c r="AG17" t="inlineStr"/>
      <c r="AH17" t="inlineStr"/>
      <c r="AI17" t="n">
        <v>15</v>
      </c>
      <c r="AJ17" t="n">
        <v>444</v>
      </c>
      <c r="AK17" t="n">
        <v>0</v>
      </c>
      <c r="AL17" t="inlineStr">
        <is>
          <t>2歳新馬</t>
        </is>
      </c>
      <c r="AM17" t="inlineStr">
        <is>
          <t>牝</t>
        </is>
      </c>
      <c r="AN17" t="n">
        <v>2</v>
      </c>
      <c r="AO17" t="n">
        <v>94.8</v>
      </c>
      <c r="AP17" t="n">
        <v>94.59999999999999</v>
      </c>
      <c r="AQ17" t="n">
        <v>93.8</v>
      </c>
      <c r="AR17" t="n">
        <v>93.8</v>
      </c>
      <c r="AS17" t="n">
        <v>34.3</v>
      </c>
      <c r="AT17" t="n">
        <v>34.1</v>
      </c>
      <c r="AU17" t="n">
        <v>2.5</v>
      </c>
      <c r="AV17" t="n">
        <v>2.7</v>
      </c>
      <c r="AW17" t="n">
        <v>3.5</v>
      </c>
      <c r="AX17" t="n">
        <v>3.5</v>
      </c>
      <c r="AY17" t="n">
        <v>2.3</v>
      </c>
      <c r="AZ17" t="n">
        <v>2.5</v>
      </c>
      <c r="BA17" t="n">
        <v>36.5</v>
      </c>
      <c r="BB17" t="n">
        <v>34</v>
      </c>
      <c r="BC17" t="n">
        <v>-1</v>
      </c>
      <c r="BD17" t="n">
        <v>48.2</v>
      </c>
      <c r="BE17" t="inlineStr">
        <is>
          <t>2023100635</t>
        </is>
      </c>
      <c r="BF17" t="inlineStr">
        <is>
          <t>202509040804</t>
        </is>
      </c>
    </row>
    <row r="18">
      <c r="A18" s="14" t="inlineStr">
        <is>
          <t>5</t>
        </is>
      </c>
      <c r="B18" s="14" t="inlineStr">
        <is>
          <t>9</t>
        </is>
      </c>
      <c r="C18" t="inlineStr">
        <is>
          <t>〇</t>
        </is>
      </c>
      <c r="D18" t="n">
        <v>2</v>
      </c>
      <c r="E18" t="inlineStr">
        <is>
          <t>2025/09/14</t>
        </is>
      </c>
      <c r="F18" t="inlineStr">
        <is>
          <t>阪神</t>
        </is>
      </c>
      <c r="G18" t="inlineStr">
        <is>
          <t>4</t>
        </is>
      </c>
      <c r="H18" t="inlineStr">
        <is>
          <t>4</t>
        </is>
      </c>
      <c r="I18" t="inlineStr">
        <is>
          <t>ダート</t>
        </is>
      </c>
      <c r="J18" t="inlineStr">
        <is>
          <t>1400</t>
        </is>
      </c>
      <c r="K18" t="inlineStr">
        <is>
          <t>1</t>
        </is>
      </c>
      <c r="L18" t="inlineStr">
        <is>
          <t>良</t>
        </is>
      </c>
      <c r="M18" t="inlineStr">
        <is>
          <t>曇</t>
        </is>
      </c>
      <c r="N18" t="inlineStr">
        <is>
          <t>13</t>
        </is>
      </c>
      <c r="O18" t="n">
        <v>6</v>
      </c>
      <c r="P18" t="n">
        <v>9</v>
      </c>
      <c r="Q18" t="inlineStr">
        <is>
          <t>フェスティヴドレス</t>
        </is>
      </c>
      <c r="R18" t="n">
        <v>55</v>
      </c>
      <c r="S18" t="inlineStr">
        <is>
          <t>菱田裕二</t>
        </is>
      </c>
      <c r="T18" t="inlineStr">
        <is>
          <t>岡田稲男</t>
        </is>
      </c>
      <c r="U18" t="inlineStr">
        <is>
          <t>1:25.2</t>
        </is>
      </c>
      <c r="V18" t="n">
        <v>85.2</v>
      </c>
      <c r="W18" t="inlineStr">
        <is>
          <t>1.2</t>
        </is>
      </c>
      <c r="X18" t="n">
        <v>6</v>
      </c>
      <c r="Y18" t="n">
        <v>18.4</v>
      </c>
      <c r="Z18" t="n">
        <v>37.4</v>
      </c>
      <c r="AA18" t="n">
        <v>37.4</v>
      </c>
      <c r="AB18" t="n">
        <v>34.6</v>
      </c>
      <c r="AC18" t="n">
        <v>37.3</v>
      </c>
      <c r="AD18" t="inlineStr">
        <is>
          <t>7-5</t>
        </is>
      </c>
      <c r="AE18" t="inlineStr">
        <is>
          <t>7</t>
        </is>
      </c>
      <c r="AF18" t="inlineStr">
        <is>
          <t>5</t>
        </is>
      </c>
      <c r="AG18" t="inlineStr"/>
      <c r="AH18" t="inlineStr"/>
      <c r="AI18" t="n">
        <v>2</v>
      </c>
      <c r="AJ18" t="n">
        <v>448</v>
      </c>
      <c r="AK18" t="n">
        <v>-20</v>
      </c>
      <c r="AL18" t="inlineStr">
        <is>
          <t>2歳未勝利</t>
        </is>
      </c>
      <c r="AM18" t="inlineStr">
        <is>
          <t>牝</t>
        </is>
      </c>
      <c r="AN18" t="n">
        <v>2</v>
      </c>
      <c r="AO18" t="n">
        <v>85.09999999999999</v>
      </c>
      <c r="AP18" t="n">
        <v>85.40000000000001</v>
      </c>
      <c r="AQ18" t="n">
        <v>85.40000000000001</v>
      </c>
      <c r="AR18" t="n">
        <v>85.40000000000001</v>
      </c>
      <c r="AS18" t="n">
        <v>37.4</v>
      </c>
      <c r="AT18" t="n">
        <v>37.5</v>
      </c>
      <c r="AU18" t="n">
        <v>0.1</v>
      </c>
      <c r="AV18" t="n">
        <v>-0.2</v>
      </c>
      <c r="AW18" t="n">
        <v>-0.2</v>
      </c>
      <c r="AX18" t="n">
        <v>-0.2</v>
      </c>
      <c r="AY18" t="n">
        <v>0</v>
      </c>
      <c r="AZ18" t="n">
        <v>-0.1</v>
      </c>
      <c r="BA18" t="n">
        <v>58.7</v>
      </c>
      <c r="BB18" t="n">
        <v>58</v>
      </c>
      <c r="BC18" t="n">
        <v>0.3</v>
      </c>
      <c r="BD18" t="n">
        <v>46.3</v>
      </c>
      <c r="BE18" t="inlineStr">
        <is>
          <t>2023101113</t>
        </is>
      </c>
      <c r="BF18" t="inlineStr">
        <is>
          <t>202509040401</t>
        </is>
      </c>
    </row>
    <row r="19">
      <c r="A19" s="14" t="inlineStr">
        <is>
          <t>5</t>
        </is>
      </c>
      <c r="B19" s="14" t="inlineStr">
        <is>
          <t>9</t>
        </is>
      </c>
      <c r="C19" t="inlineStr">
        <is>
          <t>〇</t>
        </is>
      </c>
      <c r="D19" t="inlineStr"/>
      <c r="E19" t="inlineStr">
        <is>
          <t>2025/08/23</t>
        </is>
      </c>
      <c r="F19" t="inlineStr">
        <is>
          <t>中京</t>
        </is>
      </c>
      <c r="G19" t="inlineStr">
        <is>
          <t>4</t>
        </is>
      </c>
      <c r="H19" t="inlineStr">
        <is>
          <t>1</t>
        </is>
      </c>
      <c r="I19" t="inlineStr">
        <is>
          <t>芝</t>
        </is>
      </c>
      <c r="J19" t="inlineStr">
        <is>
          <t>1400</t>
        </is>
      </c>
      <c r="K19" t="inlineStr">
        <is>
          <t>3</t>
        </is>
      </c>
      <c r="L19" t="inlineStr">
        <is>
          <t>良</t>
        </is>
      </c>
      <c r="M19" t="inlineStr">
        <is>
          <t>曇</t>
        </is>
      </c>
      <c r="N19" t="inlineStr">
        <is>
          <t>9</t>
        </is>
      </c>
      <c r="O19" t="n">
        <v>7</v>
      </c>
      <c r="P19" t="n">
        <v>7</v>
      </c>
      <c r="Q19" t="inlineStr">
        <is>
          <t>フェスティヴドレス</t>
        </is>
      </c>
      <c r="R19" t="n">
        <v>55</v>
      </c>
      <c r="S19" t="inlineStr">
        <is>
          <t>菱田裕二</t>
        </is>
      </c>
      <c r="T19" t="inlineStr">
        <is>
          <t>岡田稲男</t>
        </is>
      </c>
      <c r="U19" t="inlineStr">
        <is>
          <t>1:22.2</t>
        </is>
      </c>
      <c r="V19" t="n">
        <v>82.2</v>
      </c>
      <c r="W19" t="inlineStr">
        <is>
          <t>1.0</t>
        </is>
      </c>
      <c r="X19" t="n">
        <v>6</v>
      </c>
      <c r="Y19" t="n">
        <v>59.3</v>
      </c>
      <c r="Z19" t="n">
        <v>34.4</v>
      </c>
      <c r="AA19" t="n">
        <v>34.4</v>
      </c>
      <c r="AB19" t="n">
        <v>35.3</v>
      </c>
      <c r="AC19" t="n">
        <v>34.1</v>
      </c>
      <c r="AD19" t="inlineStr">
        <is>
          <t>7-7</t>
        </is>
      </c>
      <c r="AE19" t="inlineStr">
        <is>
          <t>7</t>
        </is>
      </c>
      <c r="AF19" t="inlineStr">
        <is>
          <t>7</t>
        </is>
      </c>
      <c r="AG19" t="inlineStr"/>
      <c r="AH19" t="inlineStr"/>
      <c r="AI19" t="n">
        <v>7</v>
      </c>
      <c r="AJ19" t="n">
        <v>468</v>
      </c>
      <c r="AK19" t="n">
        <v>10</v>
      </c>
      <c r="AL19" t="inlineStr">
        <is>
          <t>2歳未勝利</t>
        </is>
      </c>
      <c r="AM19" t="inlineStr">
        <is>
          <t>牝</t>
        </is>
      </c>
      <c r="AN19" t="n">
        <v>2</v>
      </c>
      <c r="AO19" t="n">
        <v>82</v>
      </c>
      <c r="AP19" t="n">
        <v>81.7</v>
      </c>
      <c r="AQ19" t="n">
        <v>81</v>
      </c>
      <c r="AR19" t="n">
        <v>81</v>
      </c>
      <c r="AS19" t="n">
        <v>35</v>
      </c>
      <c r="AT19" t="n">
        <v>34.8</v>
      </c>
      <c r="AU19" t="n">
        <v>0.2</v>
      </c>
      <c r="AV19" t="n">
        <v>0.5</v>
      </c>
      <c r="AW19" t="n">
        <v>1.2</v>
      </c>
      <c r="AX19" t="n">
        <v>1.2</v>
      </c>
      <c r="AY19" t="n">
        <v>-0.6</v>
      </c>
      <c r="AZ19" t="n">
        <v>-0.4</v>
      </c>
      <c r="BA19" t="n">
        <v>49.5</v>
      </c>
      <c r="BB19" t="n">
        <v>58.6</v>
      </c>
      <c r="BC19" t="n">
        <v>-1</v>
      </c>
      <c r="BD19" t="n">
        <v>51.3</v>
      </c>
      <c r="BE19" t="inlineStr">
        <is>
          <t>2023101113</t>
        </is>
      </c>
      <c r="BF19" t="inlineStr">
        <is>
          <t>202507040103</t>
        </is>
      </c>
    </row>
    <row r="20">
      <c r="A20" s="14" t="inlineStr">
        <is>
          <t>5</t>
        </is>
      </c>
      <c r="B20" s="14" t="inlineStr">
        <is>
          <t>9</t>
        </is>
      </c>
      <c r="C20" t="inlineStr">
        <is>
          <t>〇</t>
        </is>
      </c>
      <c r="D20" t="inlineStr"/>
      <c r="E20" t="inlineStr">
        <is>
          <t>2025/08/02</t>
        </is>
      </c>
      <c r="F20" t="inlineStr">
        <is>
          <t>中京</t>
        </is>
      </c>
      <c r="G20" t="inlineStr">
        <is>
          <t>3</t>
        </is>
      </c>
      <c r="H20" t="inlineStr">
        <is>
          <t>3</t>
        </is>
      </c>
      <c r="I20" t="inlineStr">
        <is>
          <t>芝</t>
        </is>
      </c>
      <c r="J20" t="inlineStr">
        <is>
          <t>1600</t>
        </is>
      </c>
      <c r="K20" t="inlineStr">
        <is>
          <t>2</t>
        </is>
      </c>
      <c r="L20" t="inlineStr">
        <is>
          <t>良</t>
        </is>
      </c>
      <c r="M20" t="inlineStr">
        <is>
          <t>晴</t>
        </is>
      </c>
      <c r="N20" t="inlineStr">
        <is>
          <t>7</t>
        </is>
      </c>
      <c r="O20" t="n">
        <v>2</v>
      </c>
      <c r="P20" t="n">
        <v>2</v>
      </c>
      <c r="Q20" t="inlineStr">
        <is>
          <t>フェスティヴドレス</t>
        </is>
      </c>
      <c r="R20" t="n">
        <v>55</v>
      </c>
      <c r="S20" t="inlineStr">
        <is>
          <t>幸英明</t>
        </is>
      </c>
      <c r="T20" t="inlineStr">
        <is>
          <t>岡田稲男</t>
        </is>
      </c>
      <c r="U20" t="inlineStr">
        <is>
          <t>1:36.1</t>
        </is>
      </c>
      <c r="V20" t="n">
        <v>96.09999999999999</v>
      </c>
      <c r="W20" t="inlineStr">
        <is>
          <t>0.7</t>
        </is>
      </c>
      <c r="X20" t="n">
        <v>5</v>
      </c>
      <c r="Y20" t="n">
        <v>35.8</v>
      </c>
      <c r="Z20" t="n">
        <v>34.4</v>
      </c>
      <c r="AA20" t="n">
        <v>34.4</v>
      </c>
      <c r="AB20" t="n">
        <v>36.7</v>
      </c>
      <c r="AC20" t="n">
        <v>34.2</v>
      </c>
      <c r="AD20" t="inlineStr">
        <is>
          <t>6-6-6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/>
      <c r="AI20" t="n">
        <v>5</v>
      </c>
      <c r="AJ20" t="n">
        <v>458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95.40000000000001</v>
      </c>
      <c r="AP20" t="n">
        <v>95</v>
      </c>
      <c r="AQ20" t="n">
        <v>94.7</v>
      </c>
      <c r="AR20" t="n">
        <v>94.7</v>
      </c>
      <c r="AS20" t="n">
        <v>34.8</v>
      </c>
      <c r="AT20" t="n">
        <v>34.5</v>
      </c>
      <c r="AU20" t="n">
        <v>0.7</v>
      </c>
      <c r="AV20" t="n">
        <v>1.1</v>
      </c>
      <c r="AW20" t="n">
        <v>1.4</v>
      </c>
      <c r="AX20" t="n">
        <v>1.4</v>
      </c>
      <c r="AY20" t="n">
        <v>-0.4</v>
      </c>
      <c r="AZ20" t="n">
        <v>-0.1</v>
      </c>
      <c r="BA20" t="n">
        <v>46.4</v>
      </c>
      <c r="BB20" t="n">
        <v>57.7</v>
      </c>
      <c r="BC20" t="n">
        <v>-0.7</v>
      </c>
      <c r="BD20" t="n">
        <v>53.3</v>
      </c>
      <c r="BE20" t="inlineStr">
        <is>
          <t>2023101113</t>
        </is>
      </c>
      <c r="BF20" t="inlineStr">
        <is>
          <t>202507030302</t>
        </is>
      </c>
    </row>
    <row r="21">
      <c r="A21" s="14" t="inlineStr">
        <is>
          <t>5</t>
        </is>
      </c>
      <c r="B21" s="14" t="inlineStr">
        <is>
          <t>10</t>
        </is>
      </c>
      <c r="C21" t="inlineStr">
        <is>
          <t>〇</t>
        </is>
      </c>
      <c r="D21" t="n">
        <v>1</v>
      </c>
      <c r="E21" t="inlineStr">
        <is>
          <t>2025/11/09</t>
        </is>
      </c>
      <c r="F21" t="inlineStr">
        <is>
          <t>京都</t>
        </is>
      </c>
      <c r="G21" t="inlineStr">
        <is>
          <t>4</t>
        </is>
      </c>
      <c r="H21" t="inlineStr">
        <is>
          <t>2</t>
        </is>
      </c>
      <c r="I21" t="inlineStr">
        <is>
          <t>ダート</t>
        </is>
      </c>
      <c r="J21" t="inlineStr">
        <is>
          <t>1400</t>
        </is>
      </c>
      <c r="K21" t="inlineStr">
        <is>
          <t>1</t>
        </is>
      </c>
      <c r="L21" t="inlineStr">
        <is>
          <t>稍</t>
        </is>
      </c>
      <c r="M21" t="inlineStr">
        <is>
          <t>雨</t>
        </is>
      </c>
      <c r="N21" t="inlineStr">
        <is>
          <t>16</t>
        </is>
      </c>
      <c r="O21" t="n">
        <v>8</v>
      </c>
      <c r="P21" t="n">
        <v>16</v>
      </c>
      <c r="Q21" t="inlineStr">
        <is>
          <t>レインボーステート</t>
        </is>
      </c>
      <c r="R21" t="n">
        <v>55</v>
      </c>
      <c r="S21" t="inlineStr">
        <is>
          <t>吉村誠之</t>
        </is>
      </c>
      <c r="T21" t="inlineStr">
        <is>
          <t>茶木太樹</t>
        </is>
      </c>
      <c r="U21" t="inlineStr">
        <is>
          <t>1:26.2</t>
        </is>
      </c>
      <c r="V21" t="n">
        <v>86.2</v>
      </c>
      <c r="W21" t="inlineStr">
        <is>
          <t>0.2</t>
        </is>
      </c>
      <c r="X21" t="n">
        <v>13</v>
      </c>
      <c r="Y21" t="n">
        <v>116</v>
      </c>
      <c r="Z21" t="n">
        <v>37.6</v>
      </c>
      <c r="AA21" t="n">
        <v>37.6</v>
      </c>
      <c r="AB21" t="n">
        <v>35.4</v>
      </c>
      <c r="AC21" t="n">
        <v>38</v>
      </c>
      <c r="AD21" t="inlineStr">
        <is>
          <t>6-7</t>
        </is>
      </c>
      <c r="AE21" t="inlineStr">
        <is>
          <t>6</t>
        </is>
      </c>
      <c r="AF21" t="inlineStr">
        <is>
          <t>7</t>
        </is>
      </c>
      <c r="AG21" t="inlineStr"/>
      <c r="AH21" t="inlineStr"/>
      <c r="AI21" t="n">
        <v>2</v>
      </c>
      <c r="AJ21" t="n">
        <v>438</v>
      </c>
      <c r="AK21" t="n">
        <v>-6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85.3</v>
      </c>
      <c r="AP21" t="n">
        <v>85.40000000000001</v>
      </c>
      <c r="AQ21" t="n">
        <v>84.7</v>
      </c>
      <c r="AR21" t="n">
        <v>85.7</v>
      </c>
      <c r="AS21" t="n">
        <v>37.2</v>
      </c>
      <c r="AT21" t="n">
        <v>37.3</v>
      </c>
      <c r="AU21" t="n">
        <v>0.9</v>
      </c>
      <c r="AV21" t="n">
        <v>0.8</v>
      </c>
      <c r="AW21" t="n">
        <v>1.5</v>
      </c>
      <c r="AX21" t="n">
        <v>0.5</v>
      </c>
      <c r="AY21" t="n">
        <v>0.4</v>
      </c>
      <c r="AZ21" t="n">
        <v>0.3</v>
      </c>
      <c r="BA21" t="n">
        <v>52.2</v>
      </c>
      <c r="BB21" t="n">
        <v>54.3</v>
      </c>
      <c r="BC21" t="n">
        <v>-0.5</v>
      </c>
      <c r="BD21" t="n">
        <v>47.1</v>
      </c>
      <c r="BE21" t="inlineStr">
        <is>
          <t>2023106943</t>
        </is>
      </c>
      <c r="BF21" t="inlineStr">
        <is>
          <t>202508040201</t>
        </is>
      </c>
    </row>
    <row r="22">
      <c r="A22" s="14" t="inlineStr">
        <is>
          <t>5</t>
        </is>
      </c>
      <c r="B22" s="14" t="inlineStr">
        <is>
          <t>10</t>
        </is>
      </c>
      <c r="C22" t="inlineStr">
        <is>
          <t>〇</t>
        </is>
      </c>
      <c r="D22" t="inlineStr"/>
      <c r="E22" t="inlineStr">
        <is>
          <t>2025/10/19</t>
        </is>
      </c>
      <c r="F22" t="inlineStr">
        <is>
          <t>京都</t>
        </is>
      </c>
      <c r="G22" t="inlineStr">
        <is>
          <t>3</t>
        </is>
      </c>
      <c r="H22" t="inlineStr">
        <is>
          <t>7</t>
        </is>
      </c>
      <c r="I22" t="inlineStr">
        <is>
          <t>芝</t>
        </is>
      </c>
      <c r="J22" t="inlineStr">
        <is>
          <t>1400</t>
        </is>
      </c>
      <c r="K22" t="inlineStr">
        <is>
          <t>4</t>
        </is>
      </c>
      <c r="L22" t="inlineStr">
        <is>
          <t>良</t>
        </is>
      </c>
      <c r="M22" t="inlineStr">
        <is>
          <t>曇</t>
        </is>
      </c>
      <c r="N22" t="inlineStr">
        <is>
          <t>17</t>
        </is>
      </c>
      <c r="O22" t="n">
        <v>4</v>
      </c>
      <c r="P22" t="n">
        <v>7</v>
      </c>
      <c r="Q22" t="inlineStr">
        <is>
          <t>レインボーステート</t>
        </is>
      </c>
      <c r="R22" t="n">
        <v>56</v>
      </c>
      <c r="S22" t="inlineStr">
        <is>
          <t>松山弘平</t>
        </is>
      </c>
      <c r="T22" t="inlineStr">
        <is>
          <t>茶木太樹</t>
        </is>
      </c>
      <c r="U22" t="inlineStr">
        <is>
          <t>1:24.3</t>
        </is>
      </c>
      <c r="V22" t="n">
        <v>84.3</v>
      </c>
      <c r="W22" t="inlineStr">
        <is>
          <t>2.1</t>
        </is>
      </c>
      <c r="X22" t="n">
        <v>6</v>
      </c>
      <c r="Y22" t="n">
        <v>22.7</v>
      </c>
      <c r="Z22" t="n">
        <v>35.4</v>
      </c>
      <c r="AA22" t="n">
        <v>35.4</v>
      </c>
      <c r="AB22" t="n">
        <v>35.3</v>
      </c>
      <c r="AC22" t="n">
        <v>35</v>
      </c>
      <c r="AD22" t="inlineStr">
        <is>
          <t>17-16</t>
        </is>
      </c>
      <c r="AE22" t="inlineStr">
        <is>
          <t>17</t>
        </is>
      </c>
      <c r="AF22" t="inlineStr">
        <is>
          <t>16</t>
        </is>
      </c>
      <c r="AG22" t="inlineStr"/>
      <c r="AH22" t="inlineStr"/>
      <c r="AI22" t="n">
        <v>14</v>
      </c>
      <c r="AJ22" t="n">
        <v>444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82</v>
      </c>
      <c r="AP22" t="n">
        <v>81.7</v>
      </c>
      <c r="AQ22" t="n">
        <v>81.3</v>
      </c>
      <c r="AR22" t="n">
        <v>81.3</v>
      </c>
      <c r="AS22" t="n">
        <v>34.4</v>
      </c>
      <c r="AT22" t="n">
        <v>34</v>
      </c>
      <c r="AU22" t="n">
        <v>2.3</v>
      </c>
      <c r="AV22" t="n">
        <v>2.6</v>
      </c>
      <c r="AW22" t="n">
        <v>3</v>
      </c>
      <c r="AX22" t="n">
        <v>3</v>
      </c>
      <c r="AY22" t="n">
        <v>1</v>
      </c>
      <c r="AZ22" t="n">
        <v>1.4</v>
      </c>
      <c r="BA22" t="n">
        <v>33.3</v>
      </c>
      <c r="BB22" t="n">
        <v>44.9</v>
      </c>
      <c r="BC22" t="n">
        <v>-0.8</v>
      </c>
      <c r="BD22" t="n">
        <v>49.9</v>
      </c>
      <c r="BE22" t="inlineStr">
        <is>
          <t>2023106943</t>
        </is>
      </c>
      <c r="BF22" t="inlineStr">
        <is>
          <t>202508030704</t>
        </is>
      </c>
    </row>
    <row r="23">
      <c r="A23" s="15" t="inlineStr">
        <is>
          <t>6</t>
        </is>
      </c>
      <c r="B23" s="15" t="inlineStr">
        <is>
          <t>11</t>
        </is>
      </c>
      <c r="C23" t="inlineStr">
        <is>
          <t>〇</t>
        </is>
      </c>
      <c r="D23" t="inlineStr"/>
      <c r="E23" t="inlineStr">
        <is>
          <t>2025/12/06</t>
        </is>
      </c>
      <c r="F23" t="inlineStr">
        <is>
          <t>阪神</t>
        </is>
      </c>
      <c r="G23" t="inlineStr">
        <is>
          <t>5</t>
        </is>
      </c>
      <c r="H23" t="inlineStr">
        <is>
          <t>1</t>
        </is>
      </c>
      <c r="I23" t="inlineStr">
        <is>
          <t>ダート</t>
        </is>
      </c>
      <c r="J23" t="inlineStr">
        <is>
          <t>1200</t>
        </is>
      </c>
      <c r="K23" t="inlineStr">
        <is>
          <t>6</t>
        </is>
      </c>
      <c r="L23" t="inlineStr">
        <is>
          <t>良</t>
        </is>
      </c>
      <c r="M23" t="inlineStr">
        <is>
          <t>晴</t>
        </is>
      </c>
      <c r="N23" t="inlineStr">
        <is>
          <t>10</t>
        </is>
      </c>
      <c r="O23" t="n">
        <v>5</v>
      </c>
      <c r="P23" t="n">
        <v>5</v>
      </c>
      <c r="Q23" t="inlineStr">
        <is>
          <t>タイガーロード</t>
        </is>
      </c>
      <c r="R23" t="n">
        <v>56</v>
      </c>
      <c r="S23" t="inlineStr">
        <is>
          <t>田口貫太</t>
        </is>
      </c>
      <c r="T23" t="inlineStr"/>
      <c r="U23" t="inlineStr">
        <is>
          <t>1:15.9</t>
        </is>
      </c>
      <c r="V23" t="n">
        <v>75.90000000000001</v>
      </c>
      <c r="W23" t="inlineStr">
        <is>
          <t>2.0</t>
        </is>
      </c>
      <c r="X23" t="n">
        <v>5</v>
      </c>
      <c r="Y23" t="n">
        <v>15.9</v>
      </c>
      <c r="Z23" t="n">
        <v>39.2</v>
      </c>
      <c r="AA23" t="n">
        <v>39.2</v>
      </c>
      <c r="AB23" t="n">
        <v>36.6</v>
      </c>
      <c r="AC23" t="n">
        <v>37.3</v>
      </c>
      <c r="AD23" t="inlineStr">
        <is>
          <t>2-2</t>
        </is>
      </c>
      <c r="AE23" t="inlineStr">
        <is>
          <t>2</t>
        </is>
      </c>
      <c r="AF23" t="inlineStr">
        <is>
          <t>2</t>
        </is>
      </c>
      <c r="AG23" t="inlineStr"/>
      <c r="AH23" t="inlineStr"/>
      <c r="AI23" t="n">
        <v>7</v>
      </c>
      <c r="AJ23" t="n">
        <v>476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72.5</v>
      </c>
      <c r="AP23" t="n">
        <v>72.8</v>
      </c>
      <c r="AQ23" t="inlineStr"/>
      <c r="AR23" t="inlineStr"/>
      <c r="AS23" t="n">
        <v>36.8</v>
      </c>
      <c r="AT23" t="n">
        <v>36.9</v>
      </c>
      <c r="AU23" t="n">
        <v>3.4</v>
      </c>
      <c r="AV23" t="n">
        <v>3.1</v>
      </c>
      <c r="AW23" t="inlineStr"/>
      <c r="AX23" t="inlineStr"/>
      <c r="AY23" t="n">
        <v>2.4</v>
      </c>
      <c r="AZ23" t="n">
        <v>2.3</v>
      </c>
      <c r="BA23" t="n">
        <v>40</v>
      </c>
      <c r="BB23" t="n">
        <v>41.4</v>
      </c>
      <c r="BC23" t="inlineStr"/>
      <c r="BD23" t="n">
        <v>46.7</v>
      </c>
      <c r="BE23" t="inlineStr">
        <is>
          <t>2023102989</t>
        </is>
      </c>
      <c r="BF23" t="inlineStr">
        <is>
          <t>202509050106</t>
        </is>
      </c>
    </row>
    <row r="24">
      <c r="A24" s="15" t="inlineStr">
        <is>
          <t>6</t>
        </is>
      </c>
      <c r="B24" s="15" t="inlineStr">
        <is>
          <t>12</t>
        </is>
      </c>
      <c r="C24" t="inlineStr">
        <is>
          <t>〇</t>
        </is>
      </c>
      <c r="D24" t="inlineStr"/>
      <c r="E24" t="inlineStr">
        <is>
          <t>2025/11/22</t>
        </is>
      </c>
      <c r="F24" t="inlineStr">
        <is>
          <t>京都</t>
        </is>
      </c>
      <c r="G24" t="inlineStr">
        <is>
          <t>4</t>
        </is>
      </c>
      <c r="H24" t="inlineStr">
        <is>
          <t>5</t>
        </is>
      </c>
      <c r="I24" t="inlineStr">
        <is>
          <t>芝</t>
        </is>
      </c>
      <c r="J24" t="inlineStr">
        <is>
          <t>1600</t>
        </is>
      </c>
      <c r="K24" t="inlineStr">
        <is>
          <t>5</t>
        </is>
      </c>
      <c r="L24" t="inlineStr">
        <is>
          <t>良</t>
        </is>
      </c>
      <c r="M24" t="inlineStr">
        <is>
          <t>晴</t>
        </is>
      </c>
      <c r="N24" t="inlineStr">
        <is>
          <t>17</t>
        </is>
      </c>
      <c r="O24" t="n">
        <v>7</v>
      </c>
      <c r="P24" t="n">
        <v>14</v>
      </c>
      <c r="Q24" t="inlineStr">
        <is>
          <t>クリコメリー</t>
        </is>
      </c>
      <c r="R24" t="n">
        <v>52</v>
      </c>
      <c r="S24" t="inlineStr">
        <is>
          <t>川端海翼</t>
        </is>
      </c>
      <c r="T24" t="inlineStr">
        <is>
          <t>谷潔</t>
        </is>
      </c>
      <c r="U24" t="inlineStr">
        <is>
          <t>1:35.9</t>
        </is>
      </c>
      <c r="V24" t="n">
        <v>95.90000000000001</v>
      </c>
      <c r="W24" t="inlineStr">
        <is>
          <t>1.5</t>
        </is>
      </c>
      <c r="X24" t="n">
        <v>17</v>
      </c>
      <c r="Y24" t="n">
        <v>373.8</v>
      </c>
      <c r="Z24" t="n">
        <v>35.3</v>
      </c>
      <c r="AA24" t="n">
        <v>35.3</v>
      </c>
      <c r="AB24" t="n">
        <v>34.6</v>
      </c>
      <c r="AC24" t="n">
        <v>35.3</v>
      </c>
      <c r="AD24" t="inlineStr">
        <is>
          <t>14-14</t>
        </is>
      </c>
      <c r="AE24" t="inlineStr">
        <is>
          <t>14</t>
        </is>
      </c>
      <c r="AF24" t="inlineStr">
        <is>
          <t>14</t>
        </is>
      </c>
      <c r="AG24" t="inlineStr"/>
      <c r="AH24" t="inlineStr"/>
      <c r="AI24" t="n">
        <v>10</v>
      </c>
      <c r="AJ24" t="n">
        <v>406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95.09999999999999</v>
      </c>
      <c r="AP24" t="n">
        <v>94.7</v>
      </c>
      <c r="AQ24" t="n">
        <v>93.3</v>
      </c>
      <c r="AR24" t="n">
        <v>93.3</v>
      </c>
      <c r="AS24" t="n">
        <v>34.8</v>
      </c>
      <c r="AT24" t="n">
        <v>34.6</v>
      </c>
      <c r="AU24" t="n">
        <v>0.8</v>
      </c>
      <c r="AV24" t="n">
        <v>1.2</v>
      </c>
      <c r="AW24" t="n">
        <v>2.6</v>
      </c>
      <c r="AX24" t="n">
        <v>2.6</v>
      </c>
      <c r="AY24" t="n">
        <v>0.5</v>
      </c>
      <c r="AZ24" t="n">
        <v>0.7</v>
      </c>
      <c r="BA24" t="n">
        <v>48</v>
      </c>
      <c r="BB24" t="n">
        <v>51.1</v>
      </c>
      <c r="BC24" t="n">
        <v>-1.8</v>
      </c>
      <c r="BD24" t="n">
        <v>49</v>
      </c>
      <c r="BE24" t="inlineStr">
        <is>
          <t>2023101603</t>
        </is>
      </c>
      <c r="BF24" t="inlineStr">
        <is>
          <t>202508040505</t>
        </is>
      </c>
    </row>
    <row r="25">
      <c r="A25" s="16" t="inlineStr">
        <is>
          <t>7</t>
        </is>
      </c>
      <c r="B25" s="16" t="inlineStr">
        <is>
          <t>13</t>
        </is>
      </c>
      <c r="C25" t="inlineStr">
        <is>
          <t>〇</t>
        </is>
      </c>
      <c r="D25" t="inlineStr"/>
      <c r="E25" t="inlineStr">
        <is>
          <t>2025/11/01</t>
        </is>
      </c>
      <c r="F25" t="inlineStr">
        <is>
          <t>京都</t>
        </is>
      </c>
      <c r="G25" t="inlineStr">
        <is>
          <t>3</t>
        </is>
      </c>
      <c r="H25" t="inlineStr">
        <is>
          <t>10</t>
        </is>
      </c>
      <c r="I25" t="inlineStr">
        <is>
          <t>ダート</t>
        </is>
      </c>
      <c r="J25" t="inlineStr">
        <is>
          <t>1800</t>
        </is>
      </c>
      <c r="K25" t="inlineStr">
        <is>
          <t>6</t>
        </is>
      </c>
      <c r="L25" t="inlineStr">
        <is>
          <t>重</t>
        </is>
      </c>
      <c r="M25" t="inlineStr">
        <is>
          <t>晴</t>
        </is>
      </c>
      <c r="N25" t="inlineStr">
        <is>
          <t>16</t>
        </is>
      </c>
      <c r="O25" t="n">
        <v>3</v>
      </c>
      <c r="P25" t="n">
        <v>5</v>
      </c>
      <c r="Q25" t="inlineStr">
        <is>
          <t>ブリオーニ</t>
        </is>
      </c>
      <c r="R25" t="n">
        <v>55</v>
      </c>
      <c r="S25" t="inlineStr">
        <is>
          <t>吉村誠之</t>
        </is>
      </c>
      <c r="T25" t="inlineStr">
        <is>
          <t>牧田和弥</t>
        </is>
      </c>
      <c r="U25" t="inlineStr">
        <is>
          <t>1:58.4</t>
        </is>
      </c>
      <c r="V25" t="n">
        <v>118.4</v>
      </c>
      <c r="W25" t="inlineStr">
        <is>
          <t>6.3</t>
        </is>
      </c>
      <c r="X25" t="n">
        <v>15</v>
      </c>
      <c r="Y25" t="n">
        <v>80.8</v>
      </c>
      <c r="Z25" t="n">
        <v>42.7</v>
      </c>
      <c r="AA25" t="n">
        <v>42.7</v>
      </c>
      <c r="AB25" t="n">
        <v>35.8</v>
      </c>
      <c r="AC25" t="n">
        <v>37.1</v>
      </c>
      <c r="AD25" t="inlineStr">
        <is>
          <t>3-2-7-13</t>
        </is>
      </c>
      <c r="AE25" t="inlineStr">
        <is>
          <t>3</t>
        </is>
      </c>
      <c r="AF25" t="inlineStr">
        <is>
          <t>2</t>
        </is>
      </c>
      <c r="AG25" t="inlineStr">
        <is>
          <t>7</t>
        </is>
      </c>
      <c r="AH25" t="n">
        <v>13</v>
      </c>
      <c r="AI25" t="n">
        <v>15</v>
      </c>
      <c r="AJ25" t="n">
        <v>514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113.5</v>
      </c>
      <c r="AP25" t="n">
        <v>112.4</v>
      </c>
      <c r="AQ25" t="n">
        <v>111.6</v>
      </c>
      <c r="AR25" t="n">
        <v>110.6</v>
      </c>
      <c r="AS25" t="n">
        <v>37.8</v>
      </c>
      <c r="AT25" t="n">
        <v>37.5</v>
      </c>
      <c r="AU25" t="n">
        <v>4.9</v>
      </c>
      <c r="AV25" t="n">
        <v>6</v>
      </c>
      <c r="AW25" t="n">
        <v>6.8</v>
      </c>
      <c r="AX25" t="n">
        <v>7.8</v>
      </c>
      <c r="AY25" t="n">
        <v>4.9</v>
      </c>
      <c r="AZ25" t="n">
        <v>5.2</v>
      </c>
      <c r="BA25" t="n">
        <v>36.7</v>
      </c>
      <c r="BB25" t="n">
        <v>33.6</v>
      </c>
      <c r="BC25" t="n">
        <v>-2</v>
      </c>
      <c r="BD25" t="n">
        <v>41.9</v>
      </c>
      <c r="BE25" t="inlineStr">
        <is>
          <t>2023104537</t>
        </is>
      </c>
      <c r="BF25" t="inlineStr">
        <is>
          <t>202508031006</t>
        </is>
      </c>
    </row>
    <row r="26">
      <c r="A26" s="16" t="inlineStr">
        <is>
          <t>7</t>
        </is>
      </c>
      <c r="B26" s="16" t="inlineStr">
        <is>
          <t>14</t>
        </is>
      </c>
      <c r="C26" t="inlineStr">
        <is>
          <t>〇</t>
        </is>
      </c>
      <c r="D26" t="n">
        <v>1</v>
      </c>
      <c r="E26" t="inlineStr">
        <is>
          <t>2025/11/09</t>
        </is>
      </c>
      <c r="F26" t="inlineStr">
        <is>
          <t>京都</t>
        </is>
      </c>
      <c r="G26" t="inlineStr">
        <is>
          <t>4</t>
        </is>
      </c>
      <c r="H26" t="inlineStr">
        <is>
          <t>2</t>
        </is>
      </c>
      <c r="I26" t="inlineStr">
        <is>
          <t>ダート</t>
        </is>
      </c>
      <c r="J26" t="inlineStr">
        <is>
          <t>1400</t>
        </is>
      </c>
      <c r="K26" t="inlineStr">
        <is>
          <t>1</t>
        </is>
      </c>
      <c r="L26" t="inlineStr">
        <is>
          <t>稍</t>
        </is>
      </c>
      <c r="M26" t="inlineStr">
        <is>
          <t>雨</t>
        </is>
      </c>
      <c r="N26" t="inlineStr">
        <is>
          <t>16</t>
        </is>
      </c>
      <c r="O26" t="n">
        <v>3</v>
      </c>
      <c r="P26" t="n">
        <v>5</v>
      </c>
      <c r="Q26" t="inlineStr">
        <is>
          <t>タイセイグローバル</t>
        </is>
      </c>
      <c r="R26" t="n">
        <v>56</v>
      </c>
      <c r="S26" t="inlineStr">
        <is>
          <t>団野大成</t>
        </is>
      </c>
      <c r="T26" t="inlineStr">
        <is>
          <t>小林真也</t>
        </is>
      </c>
      <c r="U26" t="inlineStr">
        <is>
          <t>1:26.9</t>
        </is>
      </c>
      <c r="V26" t="n">
        <v>86.90000000000001</v>
      </c>
      <c r="W26" t="inlineStr">
        <is>
          <t>0.9</t>
        </is>
      </c>
      <c r="X26" t="n">
        <v>10</v>
      </c>
      <c r="Y26" t="n">
        <v>73.2</v>
      </c>
      <c r="Z26" t="n">
        <v>37.9</v>
      </c>
      <c r="AA26" t="n">
        <v>37.9</v>
      </c>
      <c r="AB26" t="n">
        <v>35.4</v>
      </c>
      <c r="AC26" t="n">
        <v>38</v>
      </c>
      <c r="AD26" t="inlineStr">
        <is>
          <t>11-10</t>
        </is>
      </c>
      <c r="AE26" t="inlineStr">
        <is>
          <t>11</t>
        </is>
      </c>
      <c r="AF26" t="inlineStr">
        <is>
          <t>10</t>
        </is>
      </c>
      <c r="AG26" t="inlineStr"/>
      <c r="AH26" t="inlineStr"/>
      <c r="AI26" t="n">
        <v>8</v>
      </c>
      <c r="AJ26" t="n">
        <v>488</v>
      </c>
      <c r="AK26" t="n">
        <v>4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85.3</v>
      </c>
      <c r="AP26" t="n">
        <v>85.40000000000001</v>
      </c>
      <c r="AQ26" t="n">
        <v>84.7</v>
      </c>
      <c r="AR26" t="n">
        <v>85.7</v>
      </c>
      <c r="AS26" t="n">
        <v>37.2</v>
      </c>
      <c r="AT26" t="n">
        <v>37.3</v>
      </c>
      <c r="AU26" t="n">
        <v>1.6</v>
      </c>
      <c r="AV26" t="n">
        <v>1.5</v>
      </c>
      <c r="AW26" t="n">
        <v>2.2</v>
      </c>
      <c r="AX26" t="n">
        <v>1.2</v>
      </c>
      <c r="AY26" t="n">
        <v>0.7</v>
      </c>
      <c r="AZ26" t="n">
        <v>0.6</v>
      </c>
      <c r="BA26" t="n">
        <v>48.9</v>
      </c>
      <c r="BB26" t="n">
        <v>52.5</v>
      </c>
      <c r="BC26" t="n">
        <v>-0.5</v>
      </c>
      <c r="BD26" t="n">
        <v>46.7</v>
      </c>
      <c r="BE26" t="inlineStr">
        <is>
          <t>2023105256</t>
        </is>
      </c>
      <c r="BF26" t="inlineStr">
        <is>
          <t>202508040201</t>
        </is>
      </c>
    </row>
    <row r="27">
      <c r="A27" s="16" t="inlineStr">
        <is>
          <t>7</t>
        </is>
      </c>
      <c r="B27" s="16" t="inlineStr">
        <is>
          <t>14</t>
        </is>
      </c>
      <c r="C27" t="inlineStr">
        <is>
          <t>〇</t>
        </is>
      </c>
      <c r="D27" t="inlineStr"/>
      <c r="E27" t="inlineStr">
        <is>
          <t>2025/09/20</t>
        </is>
      </c>
      <c r="F27" t="inlineStr">
        <is>
          <t>阪神</t>
        </is>
      </c>
      <c r="G27" t="inlineStr">
        <is>
          <t>4</t>
        </is>
      </c>
      <c r="H27" t="inlineStr">
        <is>
          <t>6</t>
        </is>
      </c>
      <c r="I27" t="inlineStr">
        <is>
          <t>芝</t>
        </is>
      </c>
      <c r="J27" t="inlineStr">
        <is>
          <t>1600</t>
        </is>
      </c>
      <c r="K27" t="inlineStr">
        <is>
          <t>5</t>
        </is>
      </c>
      <c r="L27" t="inlineStr">
        <is>
          <t>良</t>
        </is>
      </c>
      <c r="M27" t="inlineStr">
        <is>
          <t>曇</t>
        </is>
      </c>
      <c r="N27" t="inlineStr">
        <is>
          <t>14</t>
        </is>
      </c>
      <c r="O27" t="n">
        <v>8</v>
      </c>
      <c r="P27" t="n">
        <v>13</v>
      </c>
      <c r="Q27" t="inlineStr">
        <is>
          <t>タイセイグローバル</t>
        </is>
      </c>
      <c r="R27" t="n">
        <v>55</v>
      </c>
      <c r="S27" t="inlineStr">
        <is>
          <t>松山弘平</t>
        </is>
      </c>
      <c r="T27" t="inlineStr">
        <is>
          <t>小林真也</t>
        </is>
      </c>
      <c r="U27" t="inlineStr">
        <is>
          <t>1:37.1</t>
        </is>
      </c>
      <c r="V27" t="n">
        <v>97.09999999999999</v>
      </c>
      <c r="W27" t="inlineStr">
        <is>
          <t>2.0</t>
        </is>
      </c>
      <c r="X27" t="n">
        <v>10</v>
      </c>
      <c r="Y27" t="n">
        <v>58.2</v>
      </c>
      <c r="Z27" t="n">
        <v>34.5</v>
      </c>
      <c r="AA27" t="n">
        <v>34.5</v>
      </c>
      <c r="AB27" t="n">
        <v>36.8</v>
      </c>
      <c r="AC27" t="n">
        <v>33.5</v>
      </c>
      <c r="AD27" t="inlineStr">
        <is>
          <t>11-11</t>
        </is>
      </c>
      <c r="AE27" t="inlineStr">
        <is>
          <t>11</t>
        </is>
      </c>
      <c r="AF27" t="inlineStr">
        <is>
          <t>11</t>
        </is>
      </c>
      <c r="AG27" t="inlineStr"/>
      <c r="AH27" t="inlineStr"/>
      <c r="AI27" t="n">
        <v>9</v>
      </c>
      <c r="AJ27" t="n">
        <v>484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94.8</v>
      </c>
      <c r="AP27" t="n">
        <v>94.59999999999999</v>
      </c>
      <c r="AQ27" t="n">
        <v>94.3</v>
      </c>
      <c r="AR27" t="n">
        <v>94.3</v>
      </c>
      <c r="AS27" t="n">
        <v>34.1</v>
      </c>
      <c r="AT27" t="n">
        <v>33.9</v>
      </c>
      <c r="AU27" t="n">
        <v>2.3</v>
      </c>
      <c r="AV27" t="n">
        <v>2.5</v>
      </c>
      <c r="AW27" t="n">
        <v>2.8</v>
      </c>
      <c r="AX27" t="n">
        <v>2.8</v>
      </c>
      <c r="AY27" t="n">
        <v>0.4</v>
      </c>
      <c r="AZ27" t="n">
        <v>0.6</v>
      </c>
      <c r="BA27" t="n">
        <v>37.7</v>
      </c>
      <c r="BB27" t="n">
        <v>52.4</v>
      </c>
      <c r="BC27" t="n">
        <v>-0.6</v>
      </c>
      <c r="BD27" t="n">
        <v>53.3</v>
      </c>
      <c r="BE27" t="inlineStr">
        <is>
          <t>2023105256</t>
        </is>
      </c>
      <c r="BF27" t="inlineStr">
        <is>
          <t>202509040605</t>
        </is>
      </c>
    </row>
    <row r="28">
      <c r="A28" s="17" t="inlineStr">
        <is>
          <t>8</t>
        </is>
      </c>
      <c r="B28" s="17" t="inlineStr">
        <is>
          <t>15</t>
        </is>
      </c>
      <c r="C28" t="inlineStr">
        <is>
          <t>〇</t>
        </is>
      </c>
      <c r="D28" t="inlineStr"/>
      <c r="E28" t="inlineStr">
        <is>
          <t>2025/11/30</t>
        </is>
      </c>
      <c r="F28" t="inlineStr">
        <is>
          <t>東京</t>
        </is>
      </c>
      <c r="G28" t="inlineStr">
        <is>
          <t>5</t>
        </is>
      </c>
      <c r="H28" t="inlineStr">
        <is>
          <t>8</t>
        </is>
      </c>
      <c r="I28" t="inlineStr">
        <is>
          <t>ダート</t>
        </is>
      </c>
      <c r="J28" t="inlineStr">
        <is>
          <t>1600</t>
        </is>
      </c>
      <c r="K28" t="inlineStr">
        <is>
          <t>5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5</v>
      </c>
      <c r="P28" t="n">
        <v>9</v>
      </c>
      <c r="Q28" t="inlineStr">
        <is>
          <t>ストラーダ</t>
        </is>
      </c>
      <c r="R28" t="n">
        <v>55</v>
      </c>
      <c r="S28" t="inlineStr">
        <is>
          <t>Ｃ．デム</t>
        </is>
      </c>
      <c r="T28" t="inlineStr">
        <is>
          <t>安田翔伍</t>
        </is>
      </c>
      <c r="U28" t="inlineStr">
        <is>
          <t>1:39.9</t>
        </is>
      </c>
      <c r="V28" t="n">
        <v>99.90000000000001</v>
      </c>
      <c r="W28" t="inlineStr">
        <is>
          <t>0.6</t>
        </is>
      </c>
      <c r="X28" t="n">
        <v>1</v>
      </c>
      <c r="Y28" t="n">
        <v>3.2</v>
      </c>
      <c r="Z28" t="n">
        <v>38.4</v>
      </c>
      <c r="AA28" t="n">
        <v>38.4</v>
      </c>
      <c r="AB28" t="n">
        <v>35.2</v>
      </c>
      <c r="AC28" t="n">
        <v>39</v>
      </c>
      <c r="AD28" t="inlineStr">
        <is>
          <t>6-5</t>
        </is>
      </c>
      <c r="AE28" t="inlineStr">
        <is>
          <t>6</t>
        </is>
      </c>
      <c r="AF28" t="inlineStr">
        <is>
          <t>5</t>
        </is>
      </c>
      <c r="AG28" t="inlineStr"/>
      <c r="AH28" t="inlineStr"/>
      <c r="AI28" t="n">
        <v>4</v>
      </c>
      <c r="AJ28" t="n">
        <v>490</v>
      </c>
      <c r="AK28" t="n">
        <v>0</v>
      </c>
      <c r="AL28" t="inlineStr">
        <is>
          <t>2歳新馬</t>
        </is>
      </c>
      <c r="AM28" t="inlineStr">
        <is>
          <t>牝</t>
        </is>
      </c>
      <c r="AN28" t="n">
        <v>2</v>
      </c>
      <c r="AO28" t="n">
        <v>98</v>
      </c>
      <c r="AP28" t="n">
        <v>98.40000000000001</v>
      </c>
      <c r="AQ28" t="n">
        <v>98.59999999999999</v>
      </c>
      <c r="AR28" t="n">
        <v>98.59999999999999</v>
      </c>
      <c r="AS28" t="n">
        <v>36.9</v>
      </c>
      <c r="AT28" t="n">
        <v>37</v>
      </c>
      <c r="AU28" t="n">
        <v>1.9</v>
      </c>
      <c r="AV28" t="n">
        <v>1.5</v>
      </c>
      <c r="AW28" t="n">
        <v>1.3</v>
      </c>
      <c r="AX28" t="n">
        <v>1.3</v>
      </c>
      <c r="AY28" t="n">
        <v>1.5</v>
      </c>
      <c r="AZ28" t="n">
        <v>1.4</v>
      </c>
      <c r="BA28" t="n">
        <v>48.6</v>
      </c>
      <c r="BB28" t="n">
        <v>48.1</v>
      </c>
      <c r="BC28" t="n">
        <v>0.6</v>
      </c>
      <c r="BD28" t="n">
        <v>45.8</v>
      </c>
      <c r="BE28" t="inlineStr">
        <is>
          <t>2023100937</t>
        </is>
      </c>
      <c r="BF28" t="inlineStr">
        <is>
          <t>202505050805</t>
        </is>
      </c>
    </row>
    <row r="29">
      <c r="A29" s="17" t="inlineStr">
        <is>
          <t>8</t>
        </is>
      </c>
      <c r="B29" s="17" t="inlineStr">
        <is>
          <t>16</t>
        </is>
      </c>
      <c r="C29" t="inlineStr">
        <is>
          <t>〇</t>
        </is>
      </c>
      <c r="D29" t="inlineStr"/>
      <c r="E29" t="inlineStr">
        <is>
          <t>2025/08/23</t>
        </is>
      </c>
      <c r="F29" t="inlineStr">
        <is>
          <t>札幌</t>
        </is>
      </c>
      <c r="G29" t="inlineStr">
        <is>
          <t>2</t>
        </is>
      </c>
      <c r="H29" t="inlineStr">
        <is>
          <t>1</t>
        </is>
      </c>
      <c r="I29" t="inlineStr">
        <is>
          <t>芝</t>
        </is>
      </c>
      <c r="J29" t="inlineStr">
        <is>
          <t>1800</t>
        </is>
      </c>
      <c r="K29" t="inlineStr">
        <is>
          <t>1</t>
        </is>
      </c>
      <c r="L29" t="inlineStr">
        <is>
          <t>稍</t>
        </is>
      </c>
      <c r="M29" t="inlineStr">
        <is>
          <t>曇</t>
        </is>
      </c>
      <c r="N29" t="inlineStr">
        <is>
          <t>8</t>
        </is>
      </c>
      <c r="O29" t="n">
        <v>5</v>
      </c>
      <c r="P29" t="n">
        <v>5</v>
      </c>
      <c r="Q29" t="inlineStr">
        <is>
          <t>モズプリフォール</t>
        </is>
      </c>
      <c r="R29" t="n">
        <v>55</v>
      </c>
      <c r="S29" t="inlineStr">
        <is>
          <t>ウィリア</t>
        </is>
      </c>
      <c r="T29" t="inlineStr">
        <is>
          <t>矢作芳人</t>
        </is>
      </c>
      <c r="U29" t="inlineStr">
        <is>
          <t>1:52.9</t>
        </is>
      </c>
      <c r="V29" t="n">
        <v>112.9</v>
      </c>
      <c r="W29" t="inlineStr">
        <is>
          <t>2.7</t>
        </is>
      </c>
      <c r="X29" t="n">
        <v>5</v>
      </c>
      <c r="Y29" t="n">
        <v>45.6</v>
      </c>
      <c r="Z29" t="n">
        <v>39.1</v>
      </c>
      <c r="AA29" t="n">
        <v>39.1</v>
      </c>
      <c r="AB29" t="n">
        <v>36.2</v>
      </c>
      <c r="AC29" t="n">
        <v>37</v>
      </c>
      <c r="AD29" t="inlineStr">
        <is>
          <t>6-7-7-6</t>
        </is>
      </c>
      <c r="AE29" t="inlineStr">
        <is>
          <t>6</t>
        </is>
      </c>
      <c r="AF29" t="inlineStr">
        <is>
          <t>7</t>
        </is>
      </c>
      <c r="AG29" t="inlineStr">
        <is>
          <t>7</t>
        </is>
      </c>
      <c r="AH29" t="n">
        <v>6</v>
      </c>
      <c r="AI29" t="n">
        <v>6</v>
      </c>
      <c r="AJ29" t="n">
        <v>502</v>
      </c>
      <c r="AK29" t="n">
        <v>8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110</v>
      </c>
      <c r="AP29" t="n">
        <v>111</v>
      </c>
      <c r="AQ29" t="n">
        <v>109.7</v>
      </c>
      <c r="AR29" t="n">
        <v>110.2</v>
      </c>
      <c r="AS29" t="n">
        <v>35.6</v>
      </c>
      <c r="AT29" t="n">
        <v>36.4</v>
      </c>
      <c r="AU29" t="n">
        <v>2.9</v>
      </c>
      <c r="AV29" t="n">
        <v>1.9</v>
      </c>
      <c r="AW29" t="n">
        <v>3.2</v>
      </c>
      <c r="AX29" t="n">
        <v>2.8</v>
      </c>
      <c r="AY29" t="n">
        <v>3.5</v>
      </c>
      <c r="AZ29" t="n">
        <v>2.7</v>
      </c>
      <c r="BA29" t="n">
        <v>43.8</v>
      </c>
      <c r="BB29" t="n">
        <v>37.2</v>
      </c>
      <c r="BC29" t="n">
        <v>-0.3</v>
      </c>
      <c r="BD29" t="n">
        <v>46.3</v>
      </c>
      <c r="BE29" t="inlineStr">
        <is>
          <t>2023105738</t>
        </is>
      </c>
      <c r="BF29" t="inlineStr">
        <is>
          <t>202501020101</t>
        </is>
      </c>
    </row>
    <row r="30">
      <c r="A30" s="17" t="inlineStr">
        <is>
          <t>8</t>
        </is>
      </c>
      <c r="B30" s="17" t="inlineStr">
        <is>
          <t>16</t>
        </is>
      </c>
      <c r="C30" t="inlineStr">
        <is>
          <t>〇</t>
        </is>
      </c>
      <c r="D30" t="n">
        <v>3</v>
      </c>
      <c r="E30" t="inlineStr">
        <is>
          <t>2025/08/09</t>
        </is>
      </c>
      <c r="F30" t="inlineStr">
        <is>
          <t>札幌</t>
        </is>
      </c>
      <c r="G30" t="inlineStr">
        <is>
          <t>1</t>
        </is>
      </c>
      <c r="H30" t="inlineStr">
        <is>
          <t>5</t>
        </is>
      </c>
      <c r="I30" t="inlineStr">
        <is>
          <t>芝</t>
        </is>
      </c>
      <c r="J30" t="inlineStr">
        <is>
          <t>1500</t>
        </is>
      </c>
      <c r="K30" t="inlineStr">
        <is>
          <t>1</t>
        </is>
      </c>
      <c r="L30" t="inlineStr">
        <is>
          <t>稍</t>
        </is>
      </c>
      <c r="M30" t="inlineStr">
        <is>
          <t>晴</t>
        </is>
      </c>
      <c r="N30" t="inlineStr">
        <is>
          <t>12</t>
        </is>
      </c>
      <c r="O30" t="n">
        <v>3</v>
      </c>
      <c r="P30" t="n">
        <v>3</v>
      </c>
      <c r="Q30" t="inlineStr">
        <is>
          <t>モズプリフォール</t>
        </is>
      </c>
      <c r="R30" t="n">
        <v>52</v>
      </c>
      <c r="S30" t="inlineStr">
        <is>
          <t>古川奈穂</t>
        </is>
      </c>
      <c r="T30" t="inlineStr">
        <is>
          <t>矢作芳人</t>
        </is>
      </c>
      <c r="U30" t="inlineStr">
        <is>
          <t>1:30.7</t>
        </is>
      </c>
      <c r="V30" t="n">
        <v>90.7</v>
      </c>
      <c r="W30" t="inlineStr">
        <is>
          <t>0.6</t>
        </is>
      </c>
      <c r="X30" t="n">
        <v>5</v>
      </c>
      <c r="Y30" t="n">
        <v>14.9</v>
      </c>
      <c r="Z30" t="n">
        <v>36.2</v>
      </c>
      <c r="AA30" t="n">
        <v>36.2</v>
      </c>
      <c r="AB30" t="n">
        <v>28.9</v>
      </c>
      <c r="AC30" t="n">
        <v>36.5</v>
      </c>
      <c r="AD30" t="inlineStr">
        <is>
          <t>6-9-11</t>
        </is>
      </c>
      <c r="AE30" t="inlineStr">
        <is>
          <t>6</t>
        </is>
      </c>
      <c r="AF30" t="inlineStr">
        <is>
          <t>9</t>
        </is>
      </c>
      <c r="AG30" t="inlineStr">
        <is>
          <t>11</t>
        </is>
      </c>
      <c r="AH30" t="inlineStr"/>
      <c r="AI30" t="n">
        <v>7</v>
      </c>
      <c r="AJ30" t="n">
        <v>494</v>
      </c>
      <c r="AK30" t="n">
        <v>6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90.09999999999999</v>
      </c>
      <c r="AP30" t="n">
        <v>91.2</v>
      </c>
      <c r="AQ30" t="n">
        <v>89.90000000000001</v>
      </c>
      <c r="AR30" t="n">
        <v>90.09999999999999</v>
      </c>
      <c r="AS30" t="n">
        <v>35.5</v>
      </c>
      <c r="AT30" t="n">
        <v>36.1</v>
      </c>
      <c r="AU30" t="n">
        <v>0.6</v>
      </c>
      <c r="AV30" t="n">
        <v>-0.5</v>
      </c>
      <c r="AW30" t="n">
        <v>0.8</v>
      </c>
      <c r="AX30" t="n">
        <v>0.6</v>
      </c>
      <c r="AY30" t="n">
        <v>0.7</v>
      </c>
      <c r="AZ30" t="n">
        <v>0.1</v>
      </c>
      <c r="BA30" t="n">
        <v>55.9</v>
      </c>
      <c r="BB30" t="n">
        <v>54.3</v>
      </c>
      <c r="BC30" t="n">
        <v>-0.2</v>
      </c>
      <c r="BD30" t="n">
        <v>39.9</v>
      </c>
      <c r="BE30" t="inlineStr">
        <is>
          <t>2023105738</t>
        </is>
      </c>
      <c r="BF30" t="inlineStr">
        <is>
          <t>202501010501</t>
        </is>
      </c>
    </row>
    <row r="31">
      <c r="A31" s="17" t="inlineStr">
        <is>
          <t>8</t>
        </is>
      </c>
      <c r="B31" s="17" t="inlineStr">
        <is>
          <t>16</t>
        </is>
      </c>
      <c r="C31" t="inlineStr">
        <is>
          <t>〇</t>
        </is>
      </c>
      <c r="D31" t="inlineStr"/>
      <c r="E31" t="inlineStr">
        <is>
          <t>2025/07/26</t>
        </is>
      </c>
      <c r="F31" t="inlineStr">
        <is>
          <t>札幌</t>
        </is>
      </c>
      <c r="G31" t="inlineStr">
        <is>
          <t>1</t>
        </is>
      </c>
      <c r="H31" t="inlineStr">
        <is>
          <t>1</t>
        </is>
      </c>
      <c r="I31" t="inlineStr">
        <is>
          <t>芝</t>
        </is>
      </c>
      <c r="J31" t="inlineStr">
        <is>
          <t>1200</t>
        </is>
      </c>
      <c r="K31" t="inlineStr">
        <is>
          <t>1</t>
        </is>
      </c>
      <c r="L31" t="inlineStr">
        <is>
          <t>良</t>
        </is>
      </c>
      <c r="M31" t="inlineStr">
        <is>
          <t>曇</t>
        </is>
      </c>
      <c r="N31" t="inlineStr">
        <is>
          <t>12</t>
        </is>
      </c>
      <c r="O31" t="n">
        <v>5</v>
      </c>
      <c r="P31" t="n">
        <v>5</v>
      </c>
      <c r="Q31" t="inlineStr">
        <is>
          <t>モズプリフォール</t>
        </is>
      </c>
      <c r="R31" t="n">
        <v>55</v>
      </c>
      <c r="S31" t="inlineStr">
        <is>
          <t>佐々木大</t>
        </is>
      </c>
      <c r="T31" t="inlineStr">
        <is>
          <t>矢作芳人</t>
        </is>
      </c>
      <c r="U31" t="inlineStr">
        <is>
          <t>1:10.4</t>
        </is>
      </c>
      <c r="V31" t="n">
        <v>70.40000000000001</v>
      </c>
      <c r="W31" t="inlineStr">
        <is>
          <t>1.5</t>
        </is>
      </c>
      <c r="X31" t="n">
        <v>4</v>
      </c>
      <c r="Y31" t="n">
        <v>5.5</v>
      </c>
      <c r="Z31" t="n">
        <v>35.5</v>
      </c>
      <c r="AA31" t="n">
        <v>35.5</v>
      </c>
      <c r="AB31" t="n">
        <v>34.2</v>
      </c>
      <c r="AC31" t="n">
        <v>34.7</v>
      </c>
      <c r="AD31" t="inlineStr">
        <is>
          <t>7-7</t>
        </is>
      </c>
      <c r="AE31" t="inlineStr">
        <is>
          <t>7</t>
        </is>
      </c>
      <c r="AF31" t="inlineStr">
        <is>
          <t>7</t>
        </is>
      </c>
      <c r="AG31" t="inlineStr"/>
      <c r="AH31" t="inlineStr"/>
      <c r="AI31" t="n">
        <v>9</v>
      </c>
      <c r="AJ31" t="n">
        <v>488</v>
      </c>
      <c r="AK31" t="n">
        <v>-2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69.8</v>
      </c>
      <c r="AP31" t="n">
        <v>69.59999999999999</v>
      </c>
      <c r="AQ31" t="n">
        <v>68.7</v>
      </c>
      <c r="AR31" t="n">
        <v>68.5</v>
      </c>
      <c r="AS31" t="n">
        <v>35.1</v>
      </c>
      <c r="AT31" t="n">
        <v>34.9</v>
      </c>
      <c r="AU31" t="n">
        <v>0.6</v>
      </c>
      <c r="AV31" t="n">
        <v>0.8</v>
      </c>
      <c r="AW31" t="n">
        <v>1.7</v>
      </c>
      <c r="AX31" t="n">
        <v>1.9</v>
      </c>
      <c r="AY31" t="n">
        <v>0.4</v>
      </c>
      <c r="AZ31" t="n">
        <v>0.6</v>
      </c>
      <c r="BA31" t="n">
        <v>45.7</v>
      </c>
      <c r="BB31" t="n">
        <v>47.1</v>
      </c>
      <c r="BC31" t="n">
        <v>-1.1</v>
      </c>
      <c r="BD31" t="n">
        <v>48.2</v>
      </c>
      <c r="BE31" t="inlineStr">
        <is>
          <t>2023105738</t>
        </is>
      </c>
      <c r="BF31" t="inlineStr">
        <is>
          <t>202501010101</t>
        </is>
      </c>
    </row>
    <row r="32">
      <c r="A32" s="17" t="inlineStr">
        <is>
          <t>8</t>
        </is>
      </c>
      <c r="B32" s="17" t="inlineStr">
        <is>
          <t>16</t>
        </is>
      </c>
      <c r="C32" t="inlineStr">
        <is>
          <t>〇</t>
        </is>
      </c>
      <c r="D32" t="inlineStr"/>
      <c r="E32" t="inlineStr">
        <is>
          <t>2025/07/13</t>
        </is>
      </c>
      <c r="F32" t="inlineStr">
        <is>
          <t>函館</t>
        </is>
      </c>
      <c r="G32" t="inlineStr">
        <is>
          <t>1</t>
        </is>
      </c>
      <c r="H32" t="inlineStr">
        <is>
          <t>10</t>
        </is>
      </c>
      <c r="I32" t="inlineStr">
        <is>
          <t>芝</t>
        </is>
      </c>
      <c r="J32" t="inlineStr">
        <is>
          <t>1200</t>
        </is>
      </c>
      <c r="K32" t="inlineStr">
        <is>
          <t>5</t>
        </is>
      </c>
      <c r="L32" t="inlineStr">
        <is>
          <t>良</t>
        </is>
      </c>
      <c r="M32" t="inlineStr">
        <is>
          <t>晴</t>
        </is>
      </c>
      <c r="N32" t="inlineStr">
        <is>
          <t>7</t>
        </is>
      </c>
      <c r="O32" t="n">
        <v>1</v>
      </c>
      <c r="P32" t="n">
        <v>1</v>
      </c>
      <c r="Q32" t="inlineStr">
        <is>
          <t>モズプリフォール</t>
        </is>
      </c>
      <c r="R32" t="n">
        <v>52</v>
      </c>
      <c r="S32" t="inlineStr">
        <is>
          <t>古川奈穂</t>
        </is>
      </c>
      <c r="T32" t="inlineStr">
        <is>
          <t>矢作芳人</t>
        </is>
      </c>
      <c r="U32" t="inlineStr">
        <is>
          <t>1:09.7</t>
        </is>
      </c>
      <c r="V32" t="n">
        <v>69.7</v>
      </c>
      <c r="W32" t="inlineStr">
        <is>
          <t>0.8</t>
        </is>
      </c>
      <c r="X32" t="n">
        <v>5</v>
      </c>
      <c r="Y32" t="n">
        <v>13.1</v>
      </c>
      <c r="Z32" t="n">
        <v>35</v>
      </c>
      <c r="AA32" t="n">
        <v>35</v>
      </c>
      <c r="AB32" t="n">
        <v>34.1</v>
      </c>
      <c r="AC32" t="n">
        <v>34.8</v>
      </c>
      <c r="AD32" t="inlineStr">
        <is>
          <t>4-4</t>
        </is>
      </c>
      <c r="AE32" t="inlineStr">
        <is>
          <t>4</t>
        </is>
      </c>
      <c r="AF32" t="inlineStr">
        <is>
          <t>4</t>
        </is>
      </c>
      <c r="AG32" t="inlineStr"/>
      <c r="AH32" t="inlineStr"/>
      <c r="AI32" t="n">
        <v>3</v>
      </c>
      <c r="AJ32" t="n">
        <v>490</v>
      </c>
      <c r="AK32" t="n">
        <v>0</v>
      </c>
      <c r="AL32" t="inlineStr">
        <is>
          <t>2歳新馬</t>
        </is>
      </c>
      <c r="AM32" t="inlineStr">
        <is>
          <t>牡</t>
        </is>
      </c>
      <c r="AN32" t="n">
        <v>2</v>
      </c>
      <c r="AO32" t="n">
        <v>69.7</v>
      </c>
      <c r="AP32" t="n">
        <v>69.5</v>
      </c>
      <c r="AQ32" t="n">
        <v>68.59999999999999</v>
      </c>
      <c r="AR32" t="n">
        <v>68.59999999999999</v>
      </c>
      <c r="AS32" t="n">
        <v>35.1</v>
      </c>
      <c r="AT32" t="n">
        <v>34.9</v>
      </c>
      <c r="AU32" t="n">
        <v>-0</v>
      </c>
      <c r="AV32" t="n">
        <v>0.2</v>
      </c>
      <c r="AW32" t="n">
        <v>1.1</v>
      </c>
      <c r="AX32" t="n">
        <v>1.1</v>
      </c>
      <c r="AY32" t="n">
        <v>-0.1</v>
      </c>
      <c r="AZ32" t="n">
        <v>0.1</v>
      </c>
      <c r="BA32" t="n">
        <v>52.1</v>
      </c>
      <c r="BB32" t="n">
        <v>53</v>
      </c>
      <c r="BC32" t="n">
        <v>-1.2</v>
      </c>
      <c r="BD32" t="n">
        <v>48.7</v>
      </c>
      <c r="BE32" t="inlineStr">
        <is>
          <t>2023105738</t>
        </is>
      </c>
      <c r="BF32" t="inlineStr">
        <is>
          <t>202502011005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スティーブ</t>
        </is>
      </c>
      <c r="C2" t="n">
        <v>46.6</v>
      </c>
      <c r="D2" t="n">
        <v>46.4</v>
      </c>
      <c r="E2" t="n">
        <v>-0.8</v>
      </c>
      <c r="F2" t="n">
        <v>50.8</v>
      </c>
      <c r="G2" t="n">
        <v>37.3</v>
      </c>
      <c r="H2" t="n">
        <v>14</v>
      </c>
      <c r="I2" t="inlineStr">
        <is>
          <t>1</t>
        </is>
      </c>
    </row>
    <row r="3">
      <c r="A3" t="inlineStr">
        <is>
          <t>2</t>
        </is>
      </c>
      <c r="B3" t="inlineStr">
        <is>
          <t>アストラリオン</t>
        </is>
      </c>
      <c r="C3" t="n">
        <v>45</v>
      </c>
      <c r="D3" t="n">
        <v>42.8</v>
      </c>
      <c r="E3" t="n">
        <v>-0.3</v>
      </c>
      <c r="F3" t="n">
        <v>48.4</v>
      </c>
      <c r="G3" t="n">
        <v>37.3</v>
      </c>
      <c r="H3" t="n">
        <v>1</v>
      </c>
      <c r="I3" t="inlineStr">
        <is>
          <t>1</t>
        </is>
      </c>
    </row>
    <row r="4">
      <c r="A4" t="inlineStr">
        <is>
          <t>3</t>
        </is>
      </c>
      <c r="B4" t="inlineStr">
        <is>
          <t>メイショウナナユキ</t>
        </is>
      </c>
      <c r="C4" t="n">
        <v>40.7</v>
      </c>
      <c r="D4" t="n">
        <v>47.2</v>
      </c>
      <c r="E4" t="n">
        <v>-0.6</v>
      </c>
      <c r="F4" t="n">
        <v>46.9</v>
      </c>
      <c r="G4" t="n">
        <v>38.2</v>
      </c>
      <c r="H4" t="n">
        <v>12</v>
      </c>
      <c r="I4" t="inlineStr">
        <is>
          <t>2</t>
        </is>
      </c>
    </row>
    <row r="5">
      <c r="A5" t="inlineStr">
        <is>
          <t>4</t>
        </is>
      </c>
      <c r="B5" t="inlineStr">
        <is>
          <t>ゴッドシュアウイン</t>
        </is>
      </c>
      <c r="C5" t="n">
        <v>41.6</v>
      </c>
      <c r="D5" t="n">
        <v>33.1</v>
      </c>
      <c r="E5" t="n">
        <v>-1.6</v>
      </c>
      <c r="F5" t="n">
        <v>44</v>
      </c>
      <c r="G5" t="n">
        <v>34</v>
      </c>
      <c r="I5" t="inlineStr">
        <is>
          <t>2</t>
        </is>
      </c>
    </row>
    <row r="6">
      <c r="A6" t="inlineStr">
        <is>
          <t>5</t>
        </is>
      </c>
      <c r="B6" t="inlineStr">
        <is>
          <t>ゴールデンバランス</t>
        </is>
      </c>
      <c r="C6" t="n">
        <v>50.8</v>
      </c>
      <c r="D6" t="n">
        <v>40.3</v>
      </c>
      <c r="E6" t="n">
        <v>-1.5</v>
      </c>
      <c r="F6" t="n">
        <v>43</v>
      </c>
      <c r="G6" t="n">
        <v>35.7</v>
      </c>
      <c r="H6" t="n">
        <v>1</v>
      </c>
      <c r="I6" t="inlineStr">
        <is>
          <t>3</t>
        </is>
      </c>
    </row>
    <row r="7">
      <c r="A7" t="inlineStr">
        <is>
          <t>5</t>
        </is>
      </c>
      <c r="B7" t="inlineStr">
        <is>
          <t>ゴールデンバランス</t>
        </is>
      </c>
      <c r="C7" t="n">
        <v>31.5</v>
      </c>
      <c r="D7" t="n">
        <v>31.8</v>
      </c>
      <c r="E7" t="n">
        <v>-0.7</v>
      </c>
      <c r="F7" t="n">
        <v>43.6</v>
      </c>
      <c r="G7" t="n">
        <v>37.5</v>
      </c>
      <c r="H7" t="n">
        <v>14</v>
      </c>
      <c r="I7" t="inlineStr">
        <is>
          <t>3</t>
        </is>
      </c>
    </row>
    <row r="8">
      <c r="A8" t="inlineStr">
        <is>
          <t>6</t>
        </is>
      </c>
      <c r="B8" t="inlineStr">
        <is>
          <t>ジュディーイメル</t>
        </is>
      </c>
      <c r="C8" t="n">
        <v>44</v>
      </c>
      <c r="D8" t="n">
        <v>49.7</v>
      </c>
      <c r="F8" t="n">
        <v>45.3</v>
      </c>
      <c r="G8" t="n">
        <v>35</v>
      </c>
      <c r="I8" t="inlineStr">
        <is>
          <t>3</t>
        </is>
      </c>
    </row>
    <row r="9">
      <c r="A9" t="inlineStr">
        <is>
          <t>6</t>
        </is>
      </c>
      <c r="B9" t="inlineStr">
        <is>
          <t>ジュディーイメル</t>
        </is>
      </c>
      <c r="C9" t="n">
        <v>49.6</v>
      </c>
      <c r="D9" t="n">
        <v>45</v>
      </c>
      <c r="E9" t="n">
        <v>-0.3</v>
      </c>
      <c r="F9" t="n">
        <v>46.2</v>
      </c>
      <c r="G9" t="n">
        <v>35.2</v>
      </c>
      <c r="I9" t="inlineStr">
        <is>
          <t>3</t>
        </is>
      </c>
    </row>
    <row r="10">
      <c r="A10" t="inlineStr">
        <is>
          <t>6</t>
        </is>
      </c>
      <c r="B10" t="inlineStr">
        <is>
          <t>ジュディーイメル</t>
        </is>
      </c>
      <c r="C10" t="n">
        <v>49.4</v>
      </c>
      <c r="D10" t="n">
        <v>47.3</v>
      </c>
      <c r="E10" t="n">
        <v>-0.5</v>
      </c>
      <c r="F10" t="n">
        <v>45.6</v>
      </c>
      <c r="G10" t="n">
        <v>35.4</v>
      </c>
      <c r="I10" t="inlineStr">
        <is>
          <t>3</t>
        </is>
      </c>
    </row>
    <row r="11">
      <c r="A11" t="inlineStr">
        <is>
          <t>6</t>
        </is>
      </c>
      <c r="B11" t="inlineStr">
        <is>
          <t>ジュディーイメル</t>
        </is>
      </c>
      <c r="C11" t="n">
        <v>51.4</v>
      </c>
      <c r="D11" t="n">
        <v>51.9</v>
      </c>
      <c r="E11" t="n">
        <v>-0.4</v>
      </c>
      <c r="F11" t="n">
        <v>45.6</v>
      </c>
      <c r="G11" t="n">
        <v>34.9</v>
      </c>
      <c r="I11" t="inlineStr">
        <is>
          <t>3</t>
        </is>
      </c>
    </row>
    <row r="12">
      <c r="A12" t="inlineStr">
        <is>
          <t>6</t>
        </is>
      </c>
      <c r="B12" t="inlineStr">
        <is>
          <t>ジュディーイメル</t>
        </is>
      </c>
      <c r="C12" t="n">
        <v>44.6</v>
      </c>
      <c r="D12" t="n">
        <v>51.4</v>
      </c>
      <c r="E12" t="n">
        <v>0.8</v>
      </c>
      <c r="F12" t="n">
        <v>48.6</v>
      </c>
      <c r="G12" t="n">
        <v>34.7</v>
      </c>
      <c r="I12" t="inlineStr">
        <is>
          <t>3</t>
        </is>
      </c>
    </row>
    <row r="13">
      <c r="A13" t="inlineStr">
        <is>
          <t>6</t>
        </is>
      </c>
      <c r="B13" t="inlineStr">
        <is>
          <t>ジュディーイメル</t>
        </is>
      </c>
      <c r="C13" t="n">
        <v>34.3</v>
      </c>
      <c r="D13" t="n">
        <v>41</v>
      </c>
      <c r="E13" t="n">
        <v>-0.2</v>
      </c>
      <c r="F13" t="n">
        <v>41.3</v>
      </c>
      <c r="G13" t="n">
        <v>30.5</v>
      </c>
      <c r="I13" t="inlineStr">
        <is>
          <t>3</t>
        </is>
      </c>
    </row>
    <row r="14">
      <c r="A14" t="inlineStr">
        <is>
          <t>7</t>
        </is>
      </c>
      <c r="B14" t="inlineStr">
        <is>
          <t>レザーアンドレース</t>
        </is>
      </c>
      <c r="C14" t="n">
        <v>40.8</v>
      </c>
      <c r="D14" t="n">
        <v>51.9</v>
      </c>
      <c r="E14" t="n">
        <v>0.3</v>
      </c>
      <c r="F14" t="n">
        <v>45.2</v>
      </c>
      <c r="G14" t="n">
        <v>34.6</v>
      </c>
      <c r="I14" t="inlineStr">
        <is>
          <t>4</t>
        </is>
      </c>
    </row>
    <row r="15">
      <c r="A15" t="inlineStr">
        <is>
          <t>7</t>
        </is>
      </c>
      <c r="B15" t="inlineStr">
        <is>
          <t>レザーアンドレース</t>
        </is>
      </c>
      <c r="C15" t="n">
        <v>18.5</v>
      </c>
      <c r="D15" t="n">
        <v>26.9</v>
      </c>
      <c r="E15" t="n">
        <v>0.2</v>
      </c>
      <c r="F15" t="n">
        <v>46.3</v>
      </c>
      <c r="G15" t="n">
        <v>34.9</v>
      </c>
      <c r="I15" t="inlineStr">
        <is>
          <t>4</t>
        </is>
      </c>
    </row>
    <row r="16">
      <c r="A16" t="inlineStr">
        <is>
          <t>8</t>
        </is>
      </c>
      <c r="B16" t="inlineStr">
        <is>
          <t>ピーチアバランチェ</t>
        </is>
      </c>
      <c r="C16" t="n">
        <v>46.7</v>
      </c>
      <c r="D16" t="n">
        <v>39.6</v>
      </c>
      <c r="E16" t="n">
        <v>-0.9</v>
      </c>
      <c r="F16" t="n">
        <v>46.7</v>
      </c>
      <c r="G16" t="n">
        <v>34.9</v>
      </c>
      <c r="I16" t="inlineStr">
        <is>
          <t>4</t>
        </is>
      </c>
    </row>
    <row r="17">
      <c r="A17" t="inlineStr">
        <is>
          <t>8</t>
        </is>
      </c>
      <c r="B17" t="inlineStr">
        <is>
          <t>ピーチアバランチェ</t>
        </is>
      </c>
      <c r="C17" t="n">
        <v>36.5</v>
      </c>
      <c r="D17" t="n">
        <v>34</v>
      </c>
      <c r="E17" t="n">
        <v>-1</v>
      </c>
      <c r="F17" t="n">
        <v>48.2</v>
      </c>
      <c r="G17" t="n">
        <v>35.3</v>
      </c>
      <c r="I17" t="inlineStr">
        <is>
          <t>4</t>
        </is>
      </c>
    </row>
    <row r="18">
      <c r="A18" t="inlineStr">
        <is>
          <t>9</t>
        </is>
      </c>
      <c r="B18" t="inlineStr">
        <is>
          <t>フェスティヴドレス</t>
        </is>
      </c>
      <c r="C18" t="n">
        <v>58.7</v>
      </c>
      <c r="D18" t="n">
        <v>58</v>
      </c>
      <c r="E18" t="n">
        <v>0.3</v>
      </c>
      <c r="F18" t="n">
        <v>46.3</v>
      </c>
      <c r="G18" t="n">
        <v>34.6</v>
      </c>
      <c r="I18" t="inlineStr">
        <is>
          <t>5</t>
        </is>
      </c>
    </row>
    <row r="19">
      <c r="A19" t="inlineStr">
        <is>
          <t>9</t>
        </is>
      </c>
      <c r="B19" t="inlineStr">
        <is>
          <t>フェスティヴドレス</t>
        </is>
      </c>
      <c r="C19" t="n">
        <v>49.5</v>
      </c>
      <c r="D19" t="n">
        <v>58.6</v>
      </c>
      <c r="E19" t="n">
        <v>-1</v>
      </c>
      <c r="F19" t="n">
        <v>51.3</v>
      </c>
      <c r="G19" t="n">
        <v>35.3</v>
      </c>
      <c r="I19" t="inlineStr">
        <is>
          <t>5</t>
        </is>
      </c>
    </row>
    <row r="20">
      <c r="A20" t="inlineStr">
        <is>
          <t>9</t>
        </is>
      </c>
      <c r="B20" t="inlineStr">
        <is>
          <t>フェスティヴドレス</t>
        </is>
      </c>
      <c r="C20" t="n">
        <v>46.4</v>
      </c>
      <c r="D20" t="n">
        <v>57.7</v>
      </c>
      <c r="E20" t="n">
        <v>-0.7</v>
      </c>
      <c r="F20" t="n">
        <v>53.3</v>
      </c>
      <c r="G20" t="n">
        <v>36.7</v>
      </c>
      <c r="I20" t="inlineStr">
        <is>
          <t>5</t>
        </is>
      </c>
    </row>
    <row r="21">
      <c r="A21" t="inlineStr">
        <is>
          <t>10</t>
        </is>
      </c>
      <c r="B21" t="inlineStr">
        <is>
          <t>レインボーステート</t>
        </is>
      </c>
      <c r="C21" t="n">
        <v>52.2</v>
      </c>
      <c r="D21" t="n">
        <v>54.3</v>
      </c>
      <c r="E21" t="n">
        <v>-0.5</v>
      </c>
      <c r="F21" t="n">
        <v>47.1</v>
      </c>
      <c r="G21" t="n">
        <v>35.4</v>
      </c>
      <c r="I21" t="inlineStr">
        <is>
          <t>5</t>
        </is>
      </c>
    </row>
    <row r="22">
      <c r="A22" t="inlineStr">
        <is>
          <t>10</t>
        </is>
      </c>
      <c r="B22" t="inlineStr">
        <is>
          <t>レインボーステート</t>
        </is>
      </c>
      <c r="C22" t="n">
        <v>33.3</v>
      </c>
      <c r="D22" t="n">
        <v>44.9</v>
      </c>
      <c r="E22" t="n">
        <v>-0.8</v>
      </c>
      <c r="F22" t="n">
        <v>49.9</v>
      </c>
      <c r="G22" t="n">
        <v>35.3</v>
      </c>
      <c r="I22" t="inlineStr">
        <is>
          <t>5</t>
        </is>
      </c>
    </row>
    <row r="23">
      <c r="A23" t="inlineStr">
        <is>
          <t>11</t>
        </is>
      </c>
      <c r="B23" t="inlineStr">
        <is>
          <t>タイガーロード</t>
        </is>
      </c>
      <c r="C23" t="n">
        <v>40</v>
      </c>
      <c r="D23" t="n">
        <v>41.4</v>
      </c>
      <c r="F23" t="n">
        <v>46.7</v>
      </c>
      <c r="G23" t="n">
        <v>36.6</v>
      </c>
      <c r="I23" t="inlineStr">
        <is>
          <t>6</t>
        </is>
      </c>
    </row>
    <row r="24">
      <c r="A24" t="inlineStr">
        <is>
          <t>12</t>
        </is>
      </c>
      <c r="B24" t="inlineStr">
        <is>
          <t>クリコメリー</t>
        </is>
      </c>
      <c r="C24" t="n">
        <v>48</v>
      </c>
      <c r="D24" t="n">
        <v>51.1</v>
      </c>
      <c r="E24" t="n">
        <v>-1.8</v>
      </c>
      <c r="F24" t="n">
        <v>49</v>
      </c>
      <c r="G24" t="n">
        <v>34.6</v>
      </c>
      <c r="I24" t="inlineStr">
        <is>
          <t>6</t>
        </is>
      </c>
    </row>
    <row r="25">
      <c r="A25" t="inlineStr">
        <is>
          <t>13</t>
        </is>
      </c>
      <c r="B25" t="inlineStr">
        <is>
          <t>ブリオーニ</t>
        </is>
      </c>
      <c r="C25" t="n">
        <v>36.7</v>
      </c>
      <c r="D25" t="n">
        <v>33.6</v>
      </c>
      <c r="E25" t="n">
        <v>-2</v>
      </c>
      <c r="F25" t="n">
        <v>41.9</v>
      </c>
      <c r="G25" t="n">
        <v>35.8</v>
      </c>
      <c r="H25" t="n">
        <v>13</v>
      </c>
      <c r="I25" t="inlineStr">
        <is>
          <t>7</t>
        </is>
      </c>
    </row>
    <row r="26">
      <c r="A26" t="inlineStr">
        <is>
          <t>14</t>
        </is>
      </c>
      <c r="B26" t="inlineStr">
        <is>
          <t>タイセイグローバル</t>
        </is>
      </c>
      <c r="C26" t="n">
        <v>48.9</v>
      </c>
      <c r="D26" t="n">
        <v>52.5</v>
      </c>
      <c r="E26" t="n">
        <v>-0.5</v>
      </c>
      <c r="F26" t="n">
        <v>46.7</v>
      </c>
      <c r="G26" t="n">
        <v>35.4</v>
      </c>
      <c r="I26" t="inlineStr">
        <is>
          <t>7</t>
        </is>
      </c>
    </row>
    <row r="27">
      <c r="A27" t="inlineStr">
        <is>
          <t>14</t>
        </is>
      </c>
      <c r="B27" t="inlineStr">
        <is>
          <t>タイセイグローバル</t>
        </is>
      </c>
      <c r="C27" t="n">
        <v>37.7</v>
      </c>
      <c r="D27" t="n">
        <v>52.4</v>
      </c>
      <c r="E27" t="n">
        <v>-0.6</v>
      </c>
      <c r="F27" t="n">
        <v>53.3</v>
      </c>
      <c r="G27" t="n">
        <v>36.8</v>
      </c>
      <c r="I27" t="inlineStr">
        <is>
          <t>7</t>
        </is>
      </c>
    </row>
    <row r="28">
      <c r="A28" t="inlineStr">
        <is>
          <t>15</t>
        </is>
      </c>
      <c r="B28" t="inlineStr">
        <is>
          <t>ストラーダ</t>
        </is>
      </c>
      <c r="C28" t="n">
        <v>48.6</v>
      </c>
      <c r="D28" t="n">
        <v>48.1</v>
      </c>
      <c r="E28" t="n">
        <v>0.6</v>
      </c>
      <c r="F28" t="n">
        <v>45.8</v>
      </c>
      <c r="G28" t="n">
        <v>35.2</v>
      </c>
      <c r="I28" t="inlineStr">
        <is>
          <t>8</t>
        </is>
      </c>
    </row>
    <row r="29">
      <c r="A29" t="inlineStr">
        <is>
          <t>16</t>
        </is>
      </c>
      <c r="B29" t="inlineStr">
        <is>
          <t>モズプリフォール</t>
        </is>
      </c>
      <c r="C29" t="n">
        <v>43.8</v>
      </c>
      <c r="D29" t="n">
        <v>37.2</v>
      </c>
      <c r="E29" t="n">
        <v>-0.3</v>
      </c>
      <c r="F29" t="n">
        <v>46.3</v>
      </c>
      <c r="G29" t="n">
        <v>36.2</v>
      </c>
      <c r="H29" t="n">
        <v>6</v>
      </c>
      <c r="I29" t="inlineStr">
        <is>
          <t>8</t>
        </is>
      </c>
    </row>
    <row r="30">
      <c r="A30" t="inlineStr">
        <is>
          <t>16</t>
        </is>
      </c>
      <c r="B30" t="inlineStr">
        <is>
          <t>モズプリフォール</t>
        </is>
      </c>
      <c r="C30" t="n">
        <v>55.9</v>
      </c>
      <c r="D30" t="n">
        <v>54.3</v>
      </c>
      <c r="E30" t="n">
        <v>-0.2</v>
      </c>
      <c r="F30" t="n">
        <v>39.9</v>
      </c>
      <c r="G30" t="n">
        <v>28.9</v>
      </c>
      <c r="I30" t="inlineStr">
        <is>
          <t>8</t>
        </is>
      </c>
    </row>
    <row r="31">
      <c r="A31" t="inlineStr">
        <is>
          <t>16</t>
        </is>
      </c>
      <c r="B31" t="inlineStr">
        <is>
          <t>モズプリフォール</t>
        </is>
      </c>
      <c r="C31" t="n">
        <v>45.7</v>
      </c>
      <c r="D31" t="n">
        <v>47.1</v>
      </c>
      <c r="E31" t="n">
        <v>-1.1</v>
      </c>
      <c r="F31" t="n">
        <v>48.2</v>
      </c>
      <c r="G31" t="n">
        <v>34.2</v>
      </c>
      <c r="I31" t="inlineStr">
        <is>
          <t>8</t>
        </is>
      </c>
    </row>
    <row r="32">
      <c r="A32" t="inlineStr">
        <is>
          <t>16</t>
        </is>
      </c>
      <c r="B32" t="inlineStr">
        <is>
          <t>モズプリフォール</t>
        </is>
      </c>
      <c r="C32" t="n">
        <v>52.1</v>
      </c>
      <c r="D32" t="n">
        <v>53</v>
      </c>
      <c r="E32" t="n">
        <v>-1.2</v>
      </c>
      <c r="F32" t="n">
        <v>48.7</v>
      </c>
      <c r="G32" t="n">
        <v>34.1</v>
      </c>
      <c r="I32" t="inlineStr">
        <is>
          <t>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スティーブ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アストラリオン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メイショウナナユキ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ゴッドシュアウイン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ゴールデンバランス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ジュディーイメル</t>
        </is>
      </c>
      <c r="AK8" t="inlineStr">
        <is>
          <t>6</t>
        </is>
      </c>
      <c r="AL8" t="n">
        <v>41.575</v>
      </c>
      <c r="AM8" t="n">
        <v>8.475000000000001</v>
      </c>
      <c r="AN8" t="n">
        <v>1.349999999999994</v>
      </c>
      <c r="AO8" t="n">
        <v>7.275000000000006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レザーアンドレース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ピーチアバランチェ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フェスティヴドレス</t>
        </is>
      </c>
      <c r="AK11" t="inlineStr">
        <is>
          <t>9</t>
        </is>
      </c>
      <c r="AL11" t="n">
        <v>46.4</v>
      </c>
      <c r="AM11" t="n">
        <v>12.3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レインボーステート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タイガーロード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クリコメリー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ブリオーニ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タイセイグローバル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ストラーダ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モズプリフォール</t>
        </is>
      </c>
      <c r="AK18" t="inlineStr">
        <is>
          <t>16</t>
        </is>
      </c>
      <c r="AL18" t="n">
        <v>44.27499999999999</v>
      </c>
      <c r="AM18" t="n">
        <v>10.675</v>
      </c>
      <c r="AN18" t="n">
        <v>0.9500000000000028</v>
      </c>
      <c r="AO18" t="n">
        <v>0.4749999999999943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(6) ジュディーイメル</t>
        </is>
      </c>
      <c r="C1" s="23" t="inlineStr">
        <is>
          <t>(7) レザーアンドレース</t>
        </is>
      </c>
      <c r="D1" s="23" t="inlineStr">
        <is>
          <t>(9) フェスティヴドレス</t>
        </is>
      </c>
      <c r="E1" s="23" t="inlineStr">
        <is>
          <t>(10) レインボーステート</t>
        </is>
      </c>
      <c r="F1" s="23" t="inlineStr">
        <is>
          <t>(14) タイセイグローバル</t>
        </is>
      </c>
      <c r="G1" s="23" t="inlineStr">
        <is>
          <t>(16) モズプリフォール</t>
        </is>
      </c>
    </row>
    <row r="2">
      <c r="A2" s="24" t="inlineStr">
        <is>
          <t>(6) ジュディーイメル</t>
        </is>
      </c>
      <c r="B2" s="25" t="inlineStr">
        <is>
          <t>-</t>
        </is>
      </c>
      <c r="C2" s="26" t="inlineStr"/>
      <c r="D2" s="26" t="inlineStr"/>
      <c r="E2" s="27" t="inlineStr">
        <is>
          <t>0勝1敗</t>
        </is>
      </c>
      <c r="F2" s="28" t="inlineStr">
        <is>
          <t>1勝0敗</t>
        </is>
      </c>
      <c r="G2" s="27" t="inlineStr">
        <is>
          <t>0勝1敗</t>
        </is>
      </c>
    </row>
    <row r="3">
      <c r="A3" s="24" t="inlineStr">
        <is>
          <t>(7) レザーアンドレース</t>
        </is>
      </c>
      <c r="B3" s="26" t="inlineStr"/>
      <c r="C3" s="25" t="inlineStr">
        <is>
          <t>-</t>
        </is>
      </c>
      <c r="D3" s="27" t="inlineStr">
        <is>
          <t>0勝1敗</t>
        </is>
      </c>
      <c r="E3" s="26" t="inlineStr"/>
      <c r="F3" s="26" t="inlineStr"/>
      <c r="G3" s="26" t="inlineStr"/>
    </row>
    <row r="4">
      <c r="A4" s="24" t="inlineStr">
        <is>
          <t>(9) フェスティヴドレス</t>
        </is>
      </c>
      <c r="B4" s="26" t="inlineStr"/>
      <c r="C4" s="28" t="inlineStr">
        <is>
          <t>1勝0敗</t>
        </is>
      </c>
      <c r="D4" s="25" t="inlineStr">
        <is>
          <t>-</t>
        </is>
      </c>
      <c r="E4" s="26" t="inlineStr"/>
      <c r="F4" s="26" t="inlineStr"/>
      <c r="G4" s="26" t="inlineStr"/>
    </row>
    <row r="5">
      <c r="A5" s="24" t="inlineStr">
        <is>
          <t>(10) レインボーステート</t>
        </is>
      </c>
      <c r="B5" s="28" t="inlineStr">
        <is>
          <t>1勝0敗</t>
        </is>
      </c>
      <c r="C5" s="26" t="inlineStr"/>
      <c r="D5" s="26" t="inlineStr"/>
      <c r="E5" s="25" t="inlineStr">
        <is>
          <t>-</t>
        </is>
      </c>
      <c r="F5" s="28" t="inlineStr">
        <is>
          <t>1勝0敗</t>
        </is>
      </c>
      <c r="G5" s="26" t="inlineStr"/>
    </row>
    <row r="6">
      <c r="A6" s="24" t="inlineStr">
        <is>
          <t>(14) タイセイグローバル</t>
        </is>
      </c>
      <c r="B6" s="27" t="inlineStr">
        <is>
          <t>0勝1敗</t>
        </is>
      </c>
      <c r="C6" s="26" t="inlineStr"/>
      <c r="D6" s="26" t="inlineStr"/>
      <c r="E6" s="27" t="inlineStr">
        <is>
          <t>0勝1敗</t>
        </is>
      </c>
      <c r="F6" s="25" t="inlineStr">
        <is>
          <t>-</t>
        </is>
      </c>
      <c r="G6" s="26" t="inlineStr"/>
    </row>
    <row r="7">
      <c r="A7" s="24" t="inlineStr">
        <is>
          <t>(16) モズプリフォール</t>
        </is>
      </c>
      <c r="B7" s="28" t="inlineStr">
        <is>
          <t>1勝0敗</t>
        </is>
      </c>
      <c r="C7" s="26" t="inlineStr"/>
      <c r="D7" s="26" t="inlineStr"/>
      <c r="E7" s="26" t="inlineStr"/>
      <c r="F7" s="26" t="inlineStr"/>
      <c r="G7" s="25" t="inlineStr">
        <is>
          <t>-</t>
        </is>
      </c>
    </row>
    <row r="10">
      <c r="A10" s="29" t="inlineStr">
        <is>
          <t>Group 1: 2025/11/09 京都 ダート1400 (稍)</t>
        </is>
      </c>
    </row>
    <row r="11">
      <c r="A11" s="30" t="inlineStr">
        <is>
          <t>着順</t>
        </is>
      </c>
      <c r="B11" s="30" t="inlineStr">
        <is>
          <t>馬名</t>
        </is>
      </c>
      <c r="C11" s="30" t="inlineStr">
        <is>
          <t>レース名</t>
        </is>
      </c>
      <c r="D11" s="30" t="inlineStr">
        <is>
          <t>タイム</t>
        </is>
      </c>
      <c r="E11" s="30" t="inlineStr">
        <is>
          <t>着差</t>
        </is>
      </c>
      <c r="F11" s="30" t="inlineStr">
        <is>
          <t>上り</t>
        </is>
      </c>
      <c r="G11" s="30" t="inlineStr">
        <is>
          <t>通過</t>
        </is>
      </c>
    </row>
    <row r="12">
      <c r="A12" t="n">
        <v>2</v>
      </c>
      <c r="B12" s="31" t="inlineStr">
        <is>
          <t>(10) レインボーステート</t>
        </is>
      </c>
      <c r="C12" t="inlineStr">
        <is>
          <t>2歳未勝利</t>
        </is>
      </c>
      <c r="D12" t="inlineStr">
        <is>
          <t>1:26.2</t>
        </is>
      </c>
      <c r="E12" t="inlineStr">
        <is>
          <t>0.2</t>
        </is>
      </c>
      <c r="F12" t="inlineStr">
        <is>
          <t>37.6</t>
        </is>
      </c>
      <c r="G12" t="inlineStr">
        <is>
          <t>6-7</t>
        </is>
      </c>
    </row>
    <row r="13">
      <c r="A13" t="n">
        <v>6</v>
      </c>
      <c r="B13" s="32" t="inlineStr">
        <is>
          <t>(6) ジュディーイメル</t>
        </is>
      </c>
      <c r="C13" t="inlineStr">
        <is>
          <t>2歳未勝利</t>
        </is>
      </c>
      <c r="D13" t="inlineStr">
        <is>
          <t>1:26.8</t>
        </is>
      </c>
      <c r="E13" t="inlineStr">
        <is>
          <t>0.8</t>
        </is>
      </c>
      <c r="F13" t="inlineStr">
        <is>
          <t>38.8</t>
        </is>
      </c>
      <c r="G13" t="inlineStr">
        <is>
          <t>1-1</t>
        </is>
      </c>
    </row>
    <row r="14">
      <c r="A14" t="n">
        <v>8</v>
      </c>
      <c r="B14" s="33" t="inlineStr">
        <is>
          <t>(14) タイセイグローバル</t>
        </is>
      </c>
      <c r="C14" t="inlineStr">
        <is>
          <t>2歳未勝利</t>
        </is>
      </c>
      <c r="D14" t="inlineStr">
        <is>
          <t>1:26.9</t>
        </is>
      </c>
      <c r="E14" t="inlineStr">
        <is>
          <t>0.9</t>
        </is>
      </c>
      <c r="F14" t="inlineStr">
        <is>
          <t>37.9</t>
        </is>
      </c>
      <c r="G14" t="inlineStr">
        <is>
          <t>11-10</t>
        </is>
      </c>
    </row>
    <row r="16">
      <c r="A16" s="29" t="inlineStr">
        <is>
          <t>Group 2: 2025/09/14 阪神 ダート1400 (良)</t>
        </is>
      </c>
    </row>
    <row r="17">
      <c r="A17" s="30" t="inlineStr">
        <is>
          <t>着順</t>
        </is>
      </c>
      <c r="B17" s="30" t="inlineStr">
        <is>
          <t>馬名</t>
        </is>
      </c>
      <c r="C17" s="30" t="inlineStr">
        <is>
          <t>レース名</t>
        </is>
      </c>
      <c r="D17" s="30" t="inlineStr">
        <is>
          <t>タイム</t>
        </is>
      </c>
      <c r="E17" s="30" t="inlineStr">
        <is>
          <t>着差</t>
        </is>
      </c>
      <c r="F17" s="30" t="inlineStr">
        <is>
          <t>上り</t>
        </is>
      </c>
      <c r="G17" s="30" t="inlineStr">
        <is>
          <t>通過</t>
        </is>
      </c>
    </row>
    <row r="18">
      <c r="A18" t="n">
        <v>2</v>
      </c>
      <c r="B18" s="31" t="inlineStr">
        <is>
          <t>(9) フェスティヴドレス</t>
        </is>
      </c>
      <c r="C18" t="inlineStr">
        <is>
          <t>2歳未勝利</t>
        </is>
      </c>
      <c r="D18" t="inlineStr">
        <is>
          <t>1:25.2</t>
        </is>
      </c>
      <c r="E18" t="inlineStr">
        <is>
          <t>1.2</t>
        </is>
      </c>
      <c r="F18" t="inlineStr">
        <is>
          <t>37.4</t>
        </is>
      </c>
      <c r="G18" t="inlineStr">
        <is>
          <t>7-5</t>
        </is>
      </c>
    </row>
    <row r="19">
      <c r="A19" t="n">
        <v>11</v>
      </c>
      <c r="B19" s="34" t="inlineStr">
        <is>
          <t>(7) レザーアンドレース</t>
        </is>
      </c>
      <c r="C19" t="inlineStr">
        <is>
          <t>2歳未勝利</t>
        </is>
      </c>
      <c r="D19" t="inlineStr">
        <is>
          <t>1:28.4</t>
        </is>
      </c>
      <c r="E19" t="inlineStr">
        <is>
          <t>4.4</t>
        </is>
      </c>
      <c r="F19" t="inlineStr">
        <is>
          <t>38.3</t>
        </is>
      </c>
      <c r="G19" t="inlineStr">
        <is>
          <t>13-13</t>
        </is>
      </c>
    </row>
    <row r="21">
      <c r="A21" s="29" t="inlineStr">
        <is>
          <t>Group 3: 2025/08/09 札幌 芝1500 (稍)</t>
        </is>
      </c>
    </row>
    <row r="22">
      <c r="A22" s="30" t="inlineStr">
        <is>
          <t>着順</t>
        </is>
      </c>
      <c r="B22" s="30" t="inlineStr">
        <is>
          <t>馬名</t>
        </is>
      </c>
      <c r="C22" s="30" t="inlineStr">
        <is>
          <t>レース名</t>
        </is>
      </c>
      <c r="D22" s="30" t="inlineStr">
        <is>
          <t>タイム</t>
        </is>
      </c>
      <c r="E22" s="30" t="inlineStr">
        <is>
          <t>着差</t>
        </is>
      </c>
      <c r="F22" s="30" t="inlineStr">
        <is>
          <t>上り</t>
        </is>
      </c>
      <c r="G22" s="30" t="inlineStr">
        <is>
          <t>通過</t>
        </is>
      </c>
    </row>
    <row r="23">
      <c r="A23" t="n">
        <v>7</v>
      </c>
      <c r="B23" s="35" t="inlineStr">
        <is>
          <t>(16) モズプリフォール</t>
        </is>
      </c>
      <c r="C23" t="inlineStr">
        <is>
          <t>2歳未勝利</t>
        </is>
      </c>
      <c r="D23" t="inlineStr">
        <is>
          <t>1:30.7</t>
        </is>
      </c>
      <c r="E23" t="inlineStr">
        <is>
          <t>0.6</t>
        </is>
      </c>
      <c r="F23" t="inlineStr">
        <is>
          <t>36.2</t>
        </is>
      </c>
      <c r="G23" t="inlineStr">
        <is>
          <t>6-9-11</t>
        </is>
      </c>
    </row>
    <row r="24">
      <c r="A24" t="n">
        <v>11</v>
      </c>
      <c r="B24" s="32" t="inlineStr">
        <is>
          <t>(6) ジュディーイメル</t>
        </is>
      </c>
      <c r="C24" t="inlineStr">
        <is>
          <t>2歳新馬</t>
        </is>
      </c>
      <c r="D24" t="inlineStr">
        <is>
          <t>1:32.7</t>
        </is>
      </c>
      <c r="E24" t="inlineStr">
        <is>
          <t>1.6</t>
        </is>
      </c>
      <c r="F24" t="inlineStr">
        <is>
          <t>36.9</t>
        </is>
      </c>
      <c r="G24" t="inlineStr">
        <is>
          <t>5-3-5</t>
        </is>
      </c>
    </row>
  </sheetData>
  <mergeCells count="3">
    <mergeCell ref="A21:G21"/>
    <mergeCell ref="A16:G1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2025-12-20T10:41:34Z</dcterms:created>
  <dcterms:modified xmlns:dcterms="http://purl.org/dc/terms/" xmlns:xsi="http://www.w3.org/2001/XMLSchema-instance" xsi:type="dcterms:W3CDTF">2025-12-20T10:41:34Z</dcterms:modified>
</cp:coreProperties>
</file>